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a/Desktop/Masters. Project/DATA/"/>
    </mc:Choice>
  </mc:AlternateContent>
  <xr:revisionPtr revIDLastSave="0" documentId="13_ncr:1_{1E8D7393-E211-E247-BE18-1454AE68B3DE}" xr6:coauthVersionLast="47" xr6:coauthVersionMax="47" xr10:uidLastSave="{00000000-0000-0000-0000-000000000000}"/>
  <bookViews>
    <workbookView xWindow="3520" yWindow="500" windowWidth="25280" windowHeight="16360" xr2:uid="{8D39B929-CA9D-2F4C-B2F4-E0AA3771E082}"/>
  </bookViews>
  <sheets>
    <sheet name="Data" sheetId="1" r:id="rId1"/>
    <sheet name="Sources" sheetId="4" r:id="rId2"/>
    <sheet name="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" i="1"/>
</calcChain>
</file>

<file path=xl/sharedStrings.xml><?xml version="1.0" encoding="utf-8"?>
<sst xmlns="http://schemas.openxmlformats.org/spreadsheetml/2006/main" count="584" uniqueCount="78">
  <si>
    <t>REF_DATE</t>
  </si>
  <si>
    <t>GEO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</si>
  <si>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</si>
  <si>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</si>
  <si>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</si>
  <si>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</si>
  <si>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</si>
  <si>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</si>
  <si>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</si>
  <si>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</si>
  <si>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</si>
  <si>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</si>
  <si>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</si>
  <si>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</si>
  <si>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</si>
  <si>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GDPrealVALUE</t>
  </si>
  <si>
    <t>GHGVALUE</t>
  </si>
  <si>
    <t>Canada</t>
  </si>
  <si>
    <t>industrialEnergyuse</t>
  </si>
  <si>
    <t>Engle-Granger test</t>
  </si>
  <si>
    <t>Johansen test</t>
  </si>
  <si>
    <t>GDP</t>
  </si>
  <si>
    <t>GHG</t>
  </si>
  <si>
    <t>ENERGY USE</t>
  </si>
  <si>
    <t>Sources</t>
  </si>
  <si>
    <t>https://www150.statcan.gc.ca/t1/tbl1/en/cv.action?pid=3610040201</t>
  </si>
  <si>
    <t>https://www150.statcan.gc.ca/t1/tbl1/en/cv.action?pid=2510002901</t>
  </si>
  <si>
    <t>https://data.ec.gc.ca/data/substances/monitor/canada-s-official-greenhouse-gas-inventory/A-IPCC-Sector/?lang=en</t>
  </si>
  <si>
    <t>Energy Use(energy use-final demand)</t>
  </si>
  <si>
    <t>Greenhouse gas emission(added all provinces up to get Canada)</t>
  </si>
  <si>
    <t>REAL GDP( Chained 2012) added all provinces up to get Canada</t>
  </si>
  <si>
    <t>GHG to GDP</t>
  </si>
  <si>
    <t>ENERGY USE to GDP</t>
  </si>
  <si>
    <t>ENERGY USE to GHG</t>
  </si>
  <si>
    <t>GDP to EnergyUse</t>
  </si>
  <si>
    <t>GHG to EneryUse</t>
  </si>
  <si>
    <t>Unit root testing (ADF)</t>
  </si>
  <si>
    <t>Test Statistic</t>
  </si>
  <si>
    <t>p-value</t>
  </si>
  <si>
    <t>first difference</t>
  </si>
  <si>
    <t>Cointegration</t>
  </si>
  <si>
    <t xml:space="preserve"> Manitoba</t>
  </si>
  <si>
    <t>fully correlated</t>
  </si>
  <si>
    <t>GDP &amp; GDP^2 to GHG</t>
  </si>
  <si>
    <t>GDP and GDP^2 to EnergyUse</t>
  </si>
  <si>
    <t>Wald test</t>
  </si>
  <si>
    <t>0 - 34.0464*</t>
  </si>
  <si>
    <t>rank - trace statistic</t>
  </si>
  <si>
    <t xml:space="preserve">1 - 6.0326* </t>
  </si>
  <si>
    <t>5 % critical value</t>
  </si>
  <si>
    <t xml:space="preserve">0 - 12.0357* </t>
  </si>
  <si>
    <t>0 - 20.5058*</t>
  </si>
  <si>
    <t xml:space="preserve"> 2 - 1.7009*</t>
  </si>
  <si>
    <t xml:space="preserve"> 1 - 16.4757* </t>
  </si>
  <si>
    <t>1 - 13.1994*</t>
  </si>
  <si>
    <t xml:space="preserve">1 -  17.7380* </t>
  </si>
  <si>
    <t>ADF test - First Differenced Variables</t>
  </si>
  <si>
    <t>1% critical value = -4.38</t>
  </si>
  <si>
    <t>Johansen Cointegration test</t>
  </si>
  <si>
    <t>EnergyUse to GHG</t>
  </si>
  <si>
    <t>EnergyUse to GDP</t>
  </si>
  <si>
    <t>Engle-Granger  Cointegration test</t>
  </si>
  <si>
    <t>Ranks</t>
  </si>
  <si>
    <t>Full rank</t>
  </si>
  <si>
    <r>
      <t>17.74</t>
    </r>
    <r>
      <rPr>
        <vertAlign val="superscript"/>
        <sz val="12"/>
        <color rgb="FF000000"/>
        <rFont val="Times New Roman"/>
        <family val="1"/>
      </rPr>
      <t>**</t>
    </r>
  </si>
  <si>
    <r>
      <t>34.05</t>
    </r>
    <r>
      <rPr>
        <vertAlign val="superscript"/>
        <sz val="12"/>
        <color rgb="FF000000"/>
        <rFont val="Times New Roman"/>
        <family val="1"/>
      </rPr>
      <t>*</t>
    </r>
  </si>
  <si>
    <r>
      <t>6.03</t>
    </r>
    <r>
      <rPr>
        <vertAlign val="superscript"/>
        <sz val="12"/>
        <color rgb="FF000000"/>
        <rFont val="Times New Roman"/>
        <family val="1"/>
      </rPr>
      <t>**</t>
    </r>
  </si>
  <si>
    <r>
      <t xml:space="preserve"> 1.70</t>
    </r>
    <r>
      <rPr>
        <vertAlign val="superscript"/>
        <sz val="12"/>
        <color rgb="FF000000"/>
        <rFont val="Times New Roman"/>
        <family val="1"/>
      </rPr>
      <t>***</t>
    </r>
  </si>
  <si>
    <r>
      <t>13.20</t>
    </r>
    <r>
      <rPr>
        <vertAlign val="superscript"/>
        <sz val="12"/>
        <color rgb="FF000000"/>
        <rFont val="Times New Roman"/>
        <family val="1"/>
      </rPr>
      <t>**</t>
    </r>
  </si>
  <si>
    <r>
      <t xml:space="preserve"> 16.48</t>
    </r>
    <r>
      <rPr>
        <vertAlign val="superscript"/>
        <sz val="12"/>
        <color rgb="FF000000"/>
        <rFont val="Times New Roman"/>
        <family val="1"/>
      </rPr>
      <t>**</t>
    </r>
  </si>
  <si>
    <r>
      <t>12.04</t>
    </r>
    <r>
      <rPr>
        <vertAlign val="superscript"/>
        <sz val="12"/>
        <color rgb="FF000000"/>
        <rFont val="Times New Roman"/>
        <family val="1"/>
      </rPr>
      <t>*</t>
    </r>
  </si>
  <si>
    <r>
      <t>20.51</t>
    </r>
    <r>
      <rPr>
        <vertAlign val="superscript"/>
        <sz val="12"/>
        <color rgb="FF000000"/>
        <rFont val="Times New Roman"/>
        <family val="1"/>
      </rPr>
      <t>*</t>
    </r>
  </si>
  <si>
    <t>Heteroskedastisity test</t>
  </si>
  <si>
    <t>chi^2</t>
  </si>
  <si>
    <t>probability</t>
  </si>
  <si>
    <t xml:space="preserve">Autocorrelation test </t>
  </si>
  <si>
    <t>EKC</t>
  </si>
  <si>
    <t>GDP^2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</si>
</sst>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name val="Calibri"/>
      <family val="2"/>
      <scheme val="minor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0" fillId="0" borderId="0" xfId="1" applyFon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2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 indent="2"/>
    </xf>
    <xf numFmtId="166" fontId="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GDPrealVALUE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Data!$C$2:$C$24</c:f>
              <c:numCache>
                <c:formatCode>_(* #,##0.00_);_(* \(#,##0.00\);_(* "-"??_);_(@_)</c:formatCode>
                <c:ptCount val="23"/>
                <c:pt idx="0">
                  <c:v>1175433.7</c:v>
                </c:pt>
                <c:pt idx="1">
                  <c:v>1220257.6000000001</c:v>
                </c:pt>
                <c:pt idx="2">
                  <c:v>1280394.8999999999</c:v>
                </c:pt>
                <c:pt idx="3">
                  <c:v>1348207.8</c:v>
                </c:pt>
                <c:pt idx="4">
                  <c:v>1369511.7999999998</c:v>
                </c:pt>
                <c:pt idx="5">
                  <c:v>1414165.2999999998</c:v>
                </c:pt>
                <c:pt idx="6">
                  <c:v>1442451.7</c:v>
                </c:pt>
                <c:pt idx="7">
                  <c:v>1490537</c:v>
                </c:pt>
                <c:pt idx="8">
                  <c:v>1537529.8</c:v>
                </c:pt>
                <c:pt idx="9">
                  <c:v>1580031.8000000003</c:v>
                </c:pt>
                <c:pt idx="10">
                  <c:v>1611906.9</c:v>
                </c:pt>
                <c:pt idx="11">
                  <c:v>1625394.4000000004</c:v>
                </c:pt>
                <c:pt idx="12">
                  <c:v>1574377</c:v>
                </c:pt>
                <c:pt idx="13">
                  <c:v>1625807.8</c:v>
                </c:pt>
                <c:pt idx="14">
                  <c:v>1678548.5</c:v>
                </c:pt>
                <c:pt idx="15">
                  <c:v>1709692.7</c:v>
                </c:pt>
                <c:pt idx="16">
                  <c:v>1753295.5</c:v>
                </c:pt>
                <c:pt idx="17">
                  <c:v>1803539.5</c:v>
                </c:pt>
                <c:pt idx="18">
                  <c:v>1818029.0999999999</c:v>
                </c:pt>
                <c:pt idx="19">
                  <c:v>1835713.7000000002</c:v>
                </c:pt>
                <c:pt idx="20">
                  <c:v>1892927.0000000002</c:v>
                </c:pt>
                <c:pt idx="21">
                  <c:v>1946805.8</c:v>
                </c:pt>
                <c:pt idx="22">
                  <c:v>1985075.7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0-CF4D-9561-C012A9995EAA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GHGVALUE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Data!$D$2:$D$24</c:f>
              <c:numCache>
                <c:formatCode>_(* #,##0.00_);_(* \(#,##0.00\);_(* "-"??_);_(@_)</c:formatCode>
                <c:ptCount val="23"/>
                <c:pt idx="0">
                  <c:v>682298.10015609441</c:v>
                </c:pt>
                <c:pt idx="1">
                  <c:v>688614.02851997153</c:v>
                </c:pt>
                <c:pt idx="2">
                  <c:v>700082.1997315177</c:v>
                </c:pt>
                <c:pt idx="3">
                  <c:v>724923.60286453867</c:v>
                </c:pt>
                <c:pt idx="4">
                  <c:v>715765.76136382984</c:v>
                </c:pt>
                <c:pt idx="5">
                  <c:v>722002.56621986278</c:v>
                </c:pt>
                <c:pt idx="6">
                  <c:v>741096.21366097196</c:v>
                </c:pt>
                <c:pt idx="7">
                  <c:v>743028.47060773137</c:v>
                </c:pt>
                <c:pt idx="8">
                  <c:v>738872.60107197345</c:v>
                </c:pt>
                <c:pt idx="9">
                  <c:v>732327.67358291207</c:v>
                </c:pt>
                <c:pt idx="10">
                  <c:v>754402.03366041253</c:v>
                </c:pt>
                <c:pt idx="11">
                  <c:v>736834.62714546302</c:v>
                </c:pt>
                <c:pt idx="12">
                  <c:v>695672.21862677881</c:v>
                </c:pt>
                <c:pt idx="13">
                  <c:v>707566.79129792308</c:v>
                </c:pt>
                <c:pt idx="14">
                  <c:v>718710.44360102492</c:v>
                </c:pt>
                <c:pt idx="15">
                  <c:v>723345.79273448128</c:v>
                </c:pt>
                <c:pt idx="16">
                  <c:v>729890.23252857418</c:v>
                </c:pt>
                <c:pt idx="17">
                  <c:v>727364.85891417915</c:v>
                </c:pt>
                <c:pt idx="18">
                  <c:v>730317.89635744819</c:v>
                </c:pt>
                <c:pt idx="19">
                  <c:v>712855.5883684369</c:v>
                </c:pt>
                <c:pt idx="20">
                  <c:v>722689.75788083696</c:v>
                </c:pt>
                <c:pt idx="21">
                  <c:v>737662.86681999289</c:v>
                </c:pt>
                <c:pt idx="22">
                  <c:v>735975.41315806261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0-CF4D-9561-C012A9995EAA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industrialEnergyuse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Data!$E$2:$E$24</c:f>
              <c:numCache>
                <c:formatCode>_(* #,##0.00_);_(* \(#,##0.00\);_(* "-"??_);_(@_)</c:formatCode>
                <c:ptCount val="23"/>
                <c:pt idx="0">
                  <c:v>2202317</c:v>
                </c:pt>
                <c:pt idx="1">
                  <c:v>2144147</c:v>
                </c:pt>
                <c:pt idx="2">
                  <c:v>2175238</c:v>
                </c:pt>
                <c:pt idx="3">
                  <c:v>2267257</c:v>
                </c:pt>
                <c:pt idx="4">
                  <c:v>2146829</c:v>
                </c:pt>
                <c:pt idx="5">
                  <c:v>2208795</c:v>
                </c:pt>
                <c:pt idx="6">
                  <c:v>2262341</c:v>
                </c:pt>
                <c:pt idx="7">
                  <c:v>2290053</c:v>
                </c:pt>
                <c:pt idx="8">
                  <c:v>2295753</c:v>
                </c:pt>
                <c:pt idx="9">
                  <c:v>2290511</c:v>
                </c:pt>
                <c:pt idx="10">
                  <c:v>2413255</c:v>
                </c:pt>
                <c:pt idx="11">
                  <c:v>2371508</c:v>
                </c:pt>
                <c:pt idx="12">
                  <c:v>2209009</c:v>
                </c:pt>
                <c:pt idx="13">
                  <c:v>2320884</c:v>
                </c:pt>
                <c:pt idx="14">
                  <c:v>2536265</c:v>
                </c:pt>
                <c:pt idx="15">
                  <c:v>2604297</c:v>
                </c:pt>
                <c:pt idx="16">
                  <c:v>2645236</c:v>
                </c:pt>
                <c:pt idx="17">
                  <c:v>2685441</c:v>
                </c:pt>
                <c:pt idx="18">
                  <c:v>2709892</c:v>
                </c:pt>
                <c:pt idx="19">
                  <c:v>2661741</c:v>
                </c:pt>
                <c:pt idx="20">
                  <c:v>2778773</c:v>
                </c:pt>
                <c:pt idx="21">
                  <c:v>2938587</c:v>
                </c:pt>
                <c:pt idx="22">
                  <c:v>2966029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E0-CF4D-9561-C012A9995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9223792"/>
        <c:axId val="1371124031"/>
      </c:lineChart>
      <c:dateAx>
        <c:axId val="16922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24031"/>
        <c:crosses val="autoZero"/>
        <c:auto val="0"/>
        <c:lblOffset val="100"/>
        <c:baseTimeUnit val="days"/>
      </c:dateAx>
      <c:valAx>
        <c:axId val="1371124031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3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Data!$D$1</c:f>
              <c:strCache>
                <c:ptCount val="1"/>
                <c:pt idx="0">
                  <c:v>GHGVALUE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Data!$D$2:$D$24</c:f>
              <c:numCache>
                <c:formatCode>_(* #,##0.00_);_(* \(#,##0.00\);_(* "-"??_);_(@_)</c:formatCode>
                <c:ptCount val="23"/>
                <c:pt idx="0">
                  <c:v>682298.10015609441</c:v>
                </c:pt>
                <c:pt idx="1">
                  <c:v>688614.02851997153</c:v>
                </c:pt>
                <c:pt idx="2">
                  <c:v>700082.1997315177</c:v>
                </c:pt>
                <c:pt idx="3">
                  <c:v>724923.60286453867</c:v>
                </c:pt>
                <c:pt idx="4">
                  <c:v>715765.76136382984</c:v>
                </c:pt>
                <c:pt idx="5">
                  <c:v>722002.56621986278</c:v>
                </c:pt>
                <c:pt idx="6">
                  <c:v>741096.21366097196</c:v>
                </c:pt>
                <c:pt idx="7">
                  <c:v>743028.47060773137</c:v>
                </c:pt>
                <c:pt idx="8">
                  <c:v>738872.60107197345</c:v>
                </c:pt>
                <c:pt idx="9">
                  <c:v>732327.67358291207</c:v>
                </c:pt>
                <c:pt idx="10">
                  <c:v>754402.03366041253</c:v>
                </c:pt>
                <c:pt idx="11">
                  <c:v>736834.62714546302</c:v>
                </c:pt>
                <c:pt idx="12">
                  <c:v>695672.21862677881</c:v>
                </c:pt>
                <c:pt idx="13">
                  <c:v>707566.79129792308</c:v>
                </c:pt>
                <c:pt idx="14">
                  <c:v>718710.44360102492</c:v>
                </c:pt>
                <c:pt idx="15">
                  <c:v>723345.79273448128</c:v>
                </c:pt>
                <c:pt idx="16">
                  <c:v>729890.23252857418</c:v>
                </c:pt>
                <c:pt idx="17">
                  <c:v>727364.85891417915</c:v>
                </c:pt>
                <c:pt idx="18">
                  <c:v>730317.89635744819</c:v>
                </c:pt>
                <c:pt idx="19">
                  <c:v>712855.5883684369</c:v>
                </c:pt>
                <c:pt idx="20">
                  <c:v>722689.75788083696</c:v>
                </c:pt>
                <c:pt idx="21">
                  <c:v>737662.86681999289</c:v>
                </c:pt>
                <c:pt idx="22">
                  <c:v>735975.41315806261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D-BF4D-B740-EA74D65978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94609471"/>
        <c:axId val="1994611199"/>
      </c:lineChart>
      <c:catAx>
        <c:axId val="199460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1199"/>
        <c:crosses val="autoZero"/>
        <c:auto val="1"/>
        <c:lblAlgn val="ctr"/>
        <c:lblOffset val="100"/>
        <c:noMultiLvlLbl val="0"/>
      </c:catAx>
      <c:valAx>
        <c:axId val="19946111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094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505712</xdr:colOff>
      <xdr:row>0</xdr:row>
      <xdr:rowOff>0</xdr:rowOff>
    </xdr:from>
    <xdr:to>
      <xdr:col>15</xdr:col>
      <xdr:colOff>377568</xdr:colOff>
      <xdr:row>23</xdr:row>
      <xdr:rowOff>130204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F4D8F3-13F8-FE7F-A435-80F0F108E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379855</xdr:colOff>
      <xdr:row>26</xdr:row>
      <xdr:rowOff>7092</xdr:rowOff>
    </xdr:from>
    <xdr:to>
      <xdr:col>15</xdr:col>
      <xdr:colOff>686486</xdr:colOff>
      <xdr:row>48</xdr:row>
      <xdr:rowOff>11441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603DB1-80D9-E20F-F4C5-42626C667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c.gc.ca/data/substances/monitor/canada-s-official-greenhouse-gas-inventory/A-IPCC-Sector/?lang=en" TargetMode="External"/><Relationship Id="rId2" Type="http://schemas.openxmlformats.org/officeDocument/2006/relationships/hyperlink" Target="https://www150.statcan.gc.ca/t1/tbl1/en/cv.action?pid=3610040201" TargetMode="External"/><Relationship Id="rId1" Type="http://schemas.openxmlformats.org/officeDocument/2006/relationships/hyperlink" Target="https://www150.statcan.gc.ca/t1/tbl1/en/cv.action?pid=2510002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41E8-87E6-5445-8A4F-7A5AB73E4A22}">
  <dimension ref="A1:E327"/>
  <sheetViews>
    <sheetView tabSelected="1" workbookViewId="0">
      <selection activeCell="C9" sqref="C9"/>
    </sheetView>
  </sheetViews>
  <sheetFormatPr baseColWidth="10" defaultRowHeight="16" x14ac:dyDescent="0.2"/>
  <cols>
    <col min="2" max="2" width="24.33203125" customWidth="1"/>
    <col min="3" max="3" width="16.6640625" style="2" customWidth="1"/>
    <col min="4" max="4" width="13.6640625" style="2" bestFit="1" customWidth="1"/>
    <col min="5" max="5" width="19.1640625" style="2" customWidth="1"/>
  </cols>
  <sheetData>
    <row r="1" spans="1:5" x14ac:dyDescent="0.2">
      <c r="A1" t="s">
        <v>0</v>
      </c>
      <c r="B1" t="s">
        <v>1</v>
      </c>
      <c r="C1" t="s">
        <v>15</v>
      </c>
      <c r="D1" t="s">
        <v>16</v>
      </c>
      <c r="E1" t="s">
        <v>18</v>
      </c>
    </row>
    <row r="2" spans="1:5" x14ac:dyDescent="0.2">
      <c r="A2">
        <v>1997</v>
      </c>
      <c r="B2" t="s">
        <v>17</v>
      </c>
      <c r="C2" s="6">
        <f>SUM(C25,C48,C71,C94,C117,C140,C163,C186,C209,C232,C255,C278,C301)</f>
        <v>1175433.7</v>
      </c>
      <c r="D2" s="6">
        <f>SUM(D25,D48,D71,D94,D117,D140,D163,D186,D209,D232,D255,D278,D301)</f>
        <v>682298.10015609441</v>
      </c>
      <c r="E2" s="6">
        <v>2202317</v>
      </c>
    </row>
    <row r="3" spans="1:5" x14ac:dyDescent="0.2">
      <c r="A3">
        <v>1998</v>
      </c>
      <c r="B3" t="s">
        <v>17</v>
      </c>
      <c r="C3" s="6">
        <f t="shared" ref="C3:D24" si="0">SUM(C26,C49,C72,C95,C118,C141,C164,C187,C210,C233,C256,C279,C302)</f>
        <v>1220257.6000000001</v>
      </c>
      <c r="D3" s="6">
        <f t="shared" si="0"/>
        <v>688614.02851997153</v>
      </c>
      <c r="E3" s="6">
        <v>2144147</v>
      </c>
    </row>
    <row r="4" spans="1:5" x14ac:dyDescent="0.2">
      <c r="A4">
        <v>1999</v>
      </c>
      <c r="B4" t="s">
        <v>17</v>
      </c>
      <c r="C4" s="6">
        <f t="shared" si="0"/>
        <v>1280394.8999999999</v>
      </c>
      <c r="D4" s="6">
        <f t="shared" si="0"/>
        <v>700082.1997315177</v>
      </c>
      <c r="E4" s="6">
        <v>2175238</v>
      </c>
    </row>
    <row r="5" spans="1:5" x14ac:dyDescent="0.2">
      <c r="A5">
        <v>2000</v>
      </c>
      <c r="B5" t="s">
        <v>17</v>
      </c>
      <c r="C5" s="6">
        <f t="shared" si="0"/>
        <v>1348207.8</v>
      </c>
      <c r="D5" s="6">
        <f t="shared" si="0"/>
        <v>724923.60286453867</v>
      </c>
      <c r="E5" s="6">
        <v>2267257</v>
      </c>
    </row>
    <row r="6" spans="1:5" x14ac:dyDescent="0.2">
      <c r="A6">
        <v>2001</v>
      </c>
      <c r="B6" t="s">
        <v>17</v>
      </c>
      <c r="C6" s="6">
        <f t="shared" si="0"/>
        <v>1369511.7999999998</v>
      </c>
      <c r="D6" s="6">
        <f t="shared" si="0"/>
        <v>715765.76136382984</v>
      </c>
      <c r="E6" s="6">
        <v>2146829</v>
      </c>
    </row>
    <row r="7" spans="1:5" x14ac:dyDescent="0.2">
      <c r="A7">
        <v>2002</v>
      </c>
      <c r="B7" t="s">
        <v>17</v>
      </c>
      <c r="C7" s="6">
        <f t="shared" si="0"/>
        <v>1414165.2999999998</v>
      </c>
      <c r="D7" s="6">
        <f t="shared" si="0"/>
        <v>722002.56621986278</v>
      </c>
      <c r="E7" s="6">
        <v>2208795</v>
      </c>
    </row>
    <row r="8" spans="1:5" x14ac:dyDescent="0.2">
      <c r="A8">
        <v>2003</v>
      </c>
      <c r="B8" t="s">
        <v>17</v>
      </c>
      <c r="C8" s="6">
        <f t="shared" si="0"/>
        <v>1442451.7</v>
      </c>
      <c r="D8" s="6">
        <f t="shared" si="0"/>
        <v>741096.21366097196</v>
      </c>
      <c r="E8" s="6">
        <v>2262341</v>
      </c>
    </row>
    <row r="9" spans="1:5" x14ac:dyDescent="0.2">
      <c r="A9">
        <v>2004</v>
      </c>
      <c r="B9" t="s">
        <v>17</v>
      </c>
      <c r="C9" s="6">
        <f t="shared" si="0"/>
        <v>1490537</v>
      </c>
      <c r="D9" s="6">
        <f t="shared" si="0"/>
        <v>743028.47060773137</v>
      </c>
      <c r="E9" s="6">
        <v>2290053</v>
      </c>
    </row>
    <row r="10" spans="1:5" x14ac:dyDescent="0.2">
      <c r="A10">
        <v>2005</v>
      </c>
      <c r="B10" t="s">
        <v>17</v>
      </c>
      <c r="C10" s="6">
        <f t="shared" si="0"/>
        <v>1537529.8</v>
      </c>
      <c r="D10" s="6">
        <f t="shared" si="0"/>
        <v>738872.60107197345</v>
      </c>
      <c r="E10" s="6">
        <v>2295753</v>
      </c>
    </row>
    <row r="11" spans="1:5" x14ac:dyDescent="0.2">
      <c r="A11">
        <v>2006</v>
      </c>
      <c r="B11" t="s">
        <v>17</v>
      </c>
      <c r="C11" s="6">
        <f t="shared" si="0"/>
        <v>1580031.8000000003</v>
      </c>
      <c r="D11" s="6">
        <f t="shared" si="0"/>
        <v>732327.67358291207</v>
      </c>
      <c r="E11" s="6">
        <v>2290511</v>
      </c>
    </row>
    <row r="12" spans="1:5" x14ac:dyDescent="0.2">
      <c r="A12">
        <v>2007</v>
      </c>
      <c r="B12" t="s">
        <v>17</v>
      </c>
      <c r="C12" s="6">
        <f t="shared" si="0"/>
        <v>1611906.9</v>
      </c>
      <c r="D12" s="6">
        <f t="shared" si="0"/>
        <v>754402.03366041253</v>
      </c>
      <c r="E12" s="6">
        <v>2413255</v>
      </c>
    </row>
    <row r="13" spans="1:5" x14ac:dyDescent="0.2">
      <c r="A13">
        <v>2008</v>
      </c>
      <c r="B13" t="s">
        <v>17</v>
      </c>
      <c r="C13" s="6">
        <f t="shared" si="0"/>
        <v>1625394.4000000004</v>
      </c>
      <c r="D13" s="6">
        <f t="shared" si="0"/>
        <v>736834.62714546302</v>
      </c>
      <c r="E13" s="6">
        <v>2371508</v>
      </c>
    </row>
    <row r="14" spans="1:5" x14ac:dyDescent="0.2">
      <c r="A14">
        <v>2009</v>
      </c>
      <c r="B14" t="s">
        <v>17</v>
      </c>
      <c r="C14" s="6">
        <f t="shared" si="0"/>
        <v>1574377</v>
      </c>
      <c r="D14" s="6">
        <f t="shared" si="0"/>
        <v>695672.21862677881</v>
      </c>
      <c r="E14" s="6">
        <v>2209009</v>
      </c>
    </row>
    <row r="15" spans="1:5" x14ac:dyDescent="0.2">
      <c r="A15">
        <v>2010</v>
      </c>
      <c r="B15" t="s">
        <v>17</v>
      </c>
      <c r="C15" s="6">
        <f t="shared" si="0"/>
        <v>1625807.8</v>
      </c>
      <c r="D15" s="6">
        <f t="shared" si="0"/>
        <v>707566.79129792308</v>
      </c>
      <c r="E15" s="6">
        <v>2320884</v>
      </c>
    </row>
    <row r="16" spans="1:5" x14ac:dyDescent="0.2">
      <c r="A16">
        <v>2011</v>
      </c>
      <c r="B16" t="s">
        <v>17</v>
      </c>
      <c r="C16" s="6">
        <f t="shared" si="0"/>
        <v>1678548.5</v>
      </c>
      <c r="D16" s="6">
        <f t="shared" si="0"/>
        <v>718710.44360102492</v>
      </c>
      <c r="E16" s="6">
        <v>2536265</v>
      </c>
    </row>
    <row r="17" spans="1:5" x14ac:dyDescent="0.2">
      <c r="A17">
        <v>2012</v>
      </c>
      <c r="B17" t="s">
        <v>17</v>
      </c>
      <c r="C17" s="6">
        <f t="shared" si="0"/>
        <v>1709692.7</v>
      </c>
      <c r="D17" s="6">
        <f t="shared" si="0"/>
        <v>723345.79273448128</v>
      </c>
      <c r="E17" s="6">
        <v>2604297</v>
      </c>
    </row>
    <row r="18" spans="1:5" x14ac:dyDescent="0.2">
      <c r="A18">
        <v>2013</v>
      </c>
      <c r="B18" t="s">
        <v>17</v>
      </c>
      <c r="C18" s="6">
        <f t="shared" si="0"/>
        <v>1753295.5</v>
      </c>
      <c r="D18" s="6">
        <f t="shared" si="0"/>
        <v>729890.23252857418</v>
      </c>
      <c r="E18" s="6">
        <v>2645236</v>
      </c>
    </row>
    <row r="19" spans="1:5" x14ac:dyDescent="0.2">
      <c r="A19">
        <v>2014</v>
      </c>
      <c r="B19" t="s">
        <v>17</v>
      </c>
      <c r="C19" s="6">
        <f t="shared" si="0"/>
        <v>1803539.5</v>
      </c>
      <c r="D19" s="6">
        <f t="shared" si="0"/>
        <v>727364.85891417915</v>
      </c>
      <c r="E19" s="6">
        <v>2685441</v>
      </c>
    </row>
    <row r="20" spans="1:5" x14ac:dyDescent="0.2">
      <c r="A20">
        <v>2015</v>
      </c>
      <c r="B20" t="s">
        <v>17</v>
      </c>
      <c r="C20" s="6">
        <f t="shared" si="0"/>
        <v>1818029.0999999999</v>
      </c>
      <c r="D20" s="6">
        <f t="shared" si="0"/>
        <v>730317.89635744819</v>
      </c>
      <c r="E20" s="6">
        <v>2709892</v>
      </c>
    </row>
    <row r="21" spans="1:5" x14ac:dyDescent="0.2">
      <c r="A21">
        <v>2016</v>
      </c>
      <c r="B21" t="s">
        <v>17</v>
      </c>
      <c r="C21" s="6">
        <f t="shared" si="0"/>
        <v>1835713.7000000002</v>
      </c>
      <c r="D21" s="6">
        <f t="shared" si="0"/>
        <v>712855.5883684369</v>
      </c>
      <c r="E21" s="6">
        <v>2661741</v>
      </c>
    </row>
    <row r="22" spans="1:5" x14ac:dyDescent="0.2">
      <c r="A22">
        <v>2017</v>
      </c>
      <c r="B22" t="s">
        <v>17</v>
      </c>
      <c r="C22" s="6">
        <f t="shared" si="0"/>
        <v>1892927.0000000002</v>
      </c>
      <c r="D22" s="6">
        <f t="shared" si="0"/>
        <v>722689.75788083696</v>
      </c>
      <c r="E22" s="6">
        <v>2778773</v>
      </c>
    </row>
    <row r="23" spans="1:5" x14ac:dyDescent="0.2">
      <c r="A23">
        <v>2018</v>
      </c>
      <c r="B23" t="s">
        <v>17</v>
      </c>
      <c r="C23" s="6">
        <f t="shared" si="0"/>
        <v>1946805.8</v>
      </c>
      <c r="D23" s="6">
        <f t="shared" si="0"/>
        <v>737662.86681999289</v>
      </c>
      <c r="E23" s="6">
        <v>2938587</v>
      </c>
    </row>
    <row r="24" spans="1:5" x14ac:dyDescent="0.2">
      <c r="A24">
        <v>2019</v>
      </c>
      <c r="B24" t="s">
        <v>17</v>
      </c>
      <c r="C24" s="6">
        <f t="shared" si="0"/>
        <v>1985075.7</v>
      </c>
      <c r="D24" s="6">
        <f t="shared" si="0"/>
        <v>735975.41315806261</v>
      </c>
      <c r="E24" s="6">
        <v>2966029</v>
      </c>
    </row>
    <row r="25" spans="1:5" x14ac:dyDescent="0.2">
      <c r="A25">
        <v>1997</v>
      </c>
      <c r="B25" t="s">
        <v>2</v>
      </c>
      <c r="C25" s="6">
        <v>18691.599999999999</v>
      </c>
      <c r="D25" s="6">
        <v>9273.3442291394203</v>
      </c>
      <c r="E25" s="6">
        <v>38418</v>
      </c>
    </row>
    <row r="26" spans="1:5" x14ac:dyDescent="0.2">
      <c r="A26">
        <v>1998</v>
      </c>
      <c r="B26" t="s">
        <v>2</v>
      </c>
      <c r="C26" s="6">
        <v>19598.3</v>
      </c>
      <c r="D26" s="6">
        <v>10596.744137879299</v>
      </c>
      <c r="E26" s="6">
        <v>32511</v>
      </c>
    </row>
    <row r="27" spans="1:5" x14ac:dyDescent="0.2">
      <c r="A27">
        <v>1999</v>
      </c>
      <c r="B27" t="s">
        <v>2</v>
      </c>
      <c r="C27" s="6">
        <v>20783.7</v>
      </c>
      <c r="D27" s="6">
        <v>9632.6359071688894</v>
      </c>
      <c r="E27" s="6">
        <v>31508</v>
      </c>
    </row>
    <row r="28" spans="1:5" x14ac:dyDescent="0.2">
      <c r="A28">
        <v>2000</v>
      </c>
      <c r="B28" t="s">
        <v>2</v>
      </c>
      <c r="C28" s="6">
        <v>21945.8</v>
      </c>
      <c r="D28" s="6">
        <v>9192.1320412108307</v>
      </c>
      <c r="E28" s="6">
        <v>35005</v>
      </c>
    </row>
    <row r="29" spans="1:5" x14ac:dyDescent="0.2">
      <c r="A29">
        <v>2001</v>
      </c>
      <c r="B29" t="s">
        <v>2</v>
      </c>
      <c r="C29" s="6">
        <v>22429.7</v>
      </c>
      <c r="D29" s="6">
        <v>9899.1297982920296</v>
      </c>
      <c r="E29" s="6">
        <v>34594</v>
      </c>
    </row>
    <row r="30" spans="1:5" x14ac:dyDescent="0.2">
      <c r="A30">
        <v>2002</v>
      </c>
      <c r="B30" t="s">
        <v>2</v>
      </c>
      <c r="C30" s="6">
        <v>26019.3</v>
      </c>
      <c r="D30" s="6">
        <v>11928.7573914068</v>
      </c>
      <c r="E30" s="6">
        <v>34237</v>
      </c>
    </row>
    <row r="31" spans="1:5" x14ac:dyDescent="0.2">
      <c r="A31">
        <v>2003</v>
      </c>
      <c r="B31" t="s">
        <v>2</v>
      </c>
      <c r="C31" s="6">
        <v>27753.1</v>
      </c>
      <c r="D31" s="6">
        <v>11758.626264156001</v>
      </c>
      <c r="E31" s="6">
        <v>37613</v>
      </c>
    </row>
    <row r="32" spans="1:5" x14ac:dyDescent="0.2">
      <c r="A32">
        <v>2004</v>
      </c>
      <c r="B32" t="s">
        <v>2</v>
      </c>
      <c r="C32" s="6">
        <v>27485</v>
      </c>
      <c r="D32" s="6">
        <v>11041.190230808699</v>
      </c>
      <c r="E32" s="6">
        <v>36924</v>
      </c>
    </row>
    <row r="33" spans="1:5" x14ac:dyDescent="0.2">
      <c r="A33">
        <v>2005</v>
      </c>
      <c r="B33" t="s">
        <v>2</v>
      </c>
      <c r="C33" s="6">
        <v>28185.9</v>
      </c>
      <c r="D33" s="6">
        <v>10452.8976088461</v>
      </c>
      <c r="E33" s="6">
        <v>38175</v>
      </c>
    </row>
    <row r="34" spans="1:5" x14ac:dyDescent="0.2">
      <c r="A34">
        <v>2006</v>
      </c>
      <c r="B34" t="s">
        <v>2</v>
      </c>
      <c r="C34" s="6">
        <v>29220.9</v>
      </c>
      <c r="D34" s="6">
        <v>10060.4120661992</v>
      </c>
      <c r="E34" s="6">
        <v>33162</v>
      </c>
    </row>
    <row r="35" spans="1:5" x14ac:dyDescent="0.2">
      <c r="A35">
        <v>2007</v>
      </c>
      <c r="B35" t="s">
        <v>2</v>
      </c>
      <c r="C35" s="6">
        <v>32536.6</v>
      </c>
      <c r="D35" s="6">
        <v>11031.1103616727</v>
      </c>
      <c r="E35" s="6">
        <v>32188</v>
      </c>
    </row>
    <row r="36" spans="1:5" x14ac:dyDescent="0.2">
      <c r="A36">
        <v>2008</v>
      </c>
      <c r="B36" t="s">
        <v>2</v>
      </c>
      <c r="C36" s="6">
        <v>31947.8</v>
      </c>
      <c r="D36" s="6">
        <v>10567.5025112319</v>
      </c>
      <c r="E36" s="6">
        <v>32825</v>
      </c>
    </row>
    <row r="37" spans="1:5" x14ac:dyDescent="0.2">
      <c r="A37">
        <v>2009</v>
      </c>
      <c r="B37" t="s">
        <v>2</v>
      </c>
      <c r="C37" s="6">
        <v>28944.1</v>
      </c>
      <c r="D37" s="6">
        <v>10016.528014195001</v>
      </c>
      <c r="E37" s="6">
        <v>28335</v>
      </c>
    </row>
    <row r="38" spans="1:5" x14ac:dyDescent="0.2">
      <c r="A38">
        <v>2010</v>
      </c>
      <c r="B38" t="s">
        <v>2</v>
      </c>
      <c r="C38" s="6">
        <v>30474.400000000001</v>
      </c>
      <c r="D38" s="6">
        <v>9949.1751538500303</v>
      </c>
      <c r="E38" s="6">
        <v>30060</v>
      </c>
    </row>
    <row r="39" spans="1:5" x14ac:dyDescent="0.2">
      <c r="A39">
        <v>2011</v>
      </c>
      <c r="B39" t="s">
        <v>2</v>
      </c>
      <c r="C39" s="6">
        <v>31375.5</v>
      </c>
      <c r="D39" s="6">
        <v>10265.793155339399</v>
      </c>
      <c r="E39" s="6">
        <v>29476</v>
      </c>
    </row>
    <row r="40" spans="1:5" x14ac:dyDescent="0.2">
      <c r="A40">
        <v>2012</v>
      </c>
      <c r="B40" t="s">
        <v>2</v>
      </c>
      <c r="C40" s="6">
        <v>29977.200000000001</v>
      </c>
      <c r="D40" s="6">
        <v>9809.4340520932292</v>
      </c>
      <c r="E40" s="6">
        <v>29689</v>
      </c>
    </row>
    <row r="41" spans="1:5" x14ac:dyDescent="0.2">
      <c r="A41">
        <v>2013</v>
      </c>
      <c r="B41" t="s">
        <v>2</v>
      </c>
      <c r="C41" s="6">
        <v>31486.3</v>
      </c>
      <c r="D41" s="6">
        <v>9928.1945419607291</v>
      </c>
      <c r="E41" s="6">
        <v>29981</v>
      </c>
    </row>
    <row r="42" spans="1:5" x14ac:dyDescent="0.2">
      <c r="A42">
        <v>2014</v>
      </c>
      <c r="B42" t="s">
        <v>2</v>
      </c>
      <c r="C42" s="6">
        <v>31143.3</v>
      </c>
      <c r="D42" s="6">
        <v>10914.208607614</v>
      </c>
      <c r="E42" s="6">
        <v>29782</v>
      </c>
    </row>
    <row r="43" spans="1:5" x14ac:dyDescent="0.2">
      <c r="A43">
        <v>2015</v>
      </c>
      <c r="B43" t="s">
        <v>2</v>
      </c>
      <c r="C43" s="6">
        <v>30806</v>
      </c>
      <c r="D43" s="6">
        <v>10997.378270048999</v>
      </c>
      <c r="E43" s="6">
        <v>29455</v>
      </c>
    </row>
    <row r="44" spans="1:5" x14ac:dyDescent="0.2">
      <c r="A44">
        <v>2016</v>
      </c>
      <c r="B44" t="s">
        <v>2</v>
      </c>
      <c r="C44" s="6">
        <v>31282</v>
      </c>
      <c r="D44" s="6">
        <v>11210.169705186199</v>
      </c>
      <c r="E44" s="6">
        <v>27647</v>
      </c>
    </row>
    <row r="45" spans="1:5" x14ac:dyDescent="0.2">
      <c r="A45">
        <v>2017</v>
      </c>
      <c r="B45" t="s">
        <v>2</v>
      </c>
      <c r="C45" s="6">
        <v>31674</v>
      </c>
      <c r="D45" s="6">
        <v>11125.051196004</v>
      </c>
      <c r="E45" s="6">
        <v>27712</v>
      </c>
    </row>
    <row r="46" spans="1:5" x14ac:dyDescent="0.2">
      <c r="A46">
        <v>2018</v>
      </c>
      <c r="B46" t="s">
        <v>2</v>
      </c>
      <c r="C46" s="6">
        <v>30771.7</v>
      </c>
      <c r="D46" s="6">
        <v>10931.7640027985</v>
      </c>
      <c r="E46" s="6">
        <v>29865</v>
      </c>
    </row>
    <row r="47" spans="1:5" x14ac:dyDescent="0.2">
      <c r="A47">
        <v>2019</v>
      </c>
      <c r="B47" t="s">
        <v>2</v>
      </c>
      <c r="C47" s="6">
        <v>31996.799999999999</v>
      </c>
      <c r="D47" s="6">
        <v>11137.9696561869</v>
      </c>
      <c r="E47" s="6">
        <v>31454</v>
      </c>
    </row>
    <row r="48" spans="1:5" x14ac:dyDescent="0.2">
      <c r="A48" s="1">
        <v>1997</v>
      </c>
      <c r="B48" s="1" t="s">
        <v>3</v>
      </c>
      <c r="C48" s="6">
        <v>3761.1</v>
      </c>
      <c r="D48" s="6">
        <v>1881.1129698616301</v>
      </c>
      <c r="E48" s="6">
        <v>2284</v>
      </c>
    </row>
    <row r="49" spans="1:5" x14ac:dyDescent="0.2">
      <c r="A49" s="1">
        <v>1998</v>
      </c>
      <c r="B49" s="1" t="s">
        <v>3</v>
      </c>
      <c r="C49" s="6">
        <v>3911.1</v>
      </c>
      <c r="D49" s="6">
        <v>1856.7332392338601</v>
      </c>
      <c r="E49" s="6">
        <v>2014</v>
      </c>
    </row>
    <row r="50" spans="1:5" x14ac:dyDescent="0.2">
      <c r="A50" s="1">
        <v>1999</v>
      </c>
      <c r="B50" s="1" t="s">
        <v>3</v>
      </c>
      <c r="C50" s="6">
        <v>4071.8</v>
      </c>
      <c r="D50" s="6">
        <v>1851.6395699095399</v>
      </c>
      <c r="E50" s="6">
        <v>1564</v>
      </c>
    </row>
    <row r="51" spans="1:5" x14ac:dyDescent="0.2">
      <c r="A51" s="1">
        <v>2000</v>
      </c>
      <c r="B51" s="1" t="s">
        <v>3</v>
      </c>
      <c r="C51" s="6">
        <v>4191.3999999999996</v>
      </c>
      <c r="D51" s="6">
        <v>1981.5824449925001</v>
      </c>
      <c r="E51" s="6">
        <v>2741</v>
      </c>
    </row>
    <row r="52" spans="1:5" x14ac:dyDescent="0.2">
      <c r="A52" s="1">
        <v>2001</v>
      </c>
      <c r="B52" s="1" t="s">
        <v>3</v>
      </c>
      <c r="C52" s="6">
        <v>4139.5</v>
      </c>
      <c r="D52" s="6">
        <v>1883.0248514606201</v>
      </c>
      <c r="E52" s="6">
        <v>2623</v>
      </c>
    </row>
    <row r="53" spans="1:5" x14ac:dyDescent="0.2">
      <c r="A53" s="1">
        <v>2002</v>
      </c>
      <c r="B53" s="1" t="s">
        <v>3</v>
      </c>
      <c r="C53" s="6">
        <v>4340.2</v>
      </c>
      <c r="D53" s="6">
        <v>1892.31614168484</v>
      </c>
      <c r="E53" s="6">
        <v>2652</v>
      </c>
    </row>
    <row r="54" spans="1:5" x14ac:dyDescent="0.2">
      <c r="A54" s="1">
        <v>2003</v>
      </c>
      <c r="B54" s="1" t="s">
        <v>3</v>
      </c>
      <c r="C54" s="6">
        <v>4415.8</v>
      </c>
      <c r="D54" s="6">
        <v>1965.6898523587399</v>
      </c>
      <c r="E54" s="6">
        <v>2881</v>
      </c>
    </row>
    <row r="55" spans="1:5" x14ac:dyDescent="0.2">
      <c r="A55" s="1">
        <v>2004</v>
      </c>
      <c r="B55" s="1" t="s">
        <v>3</v>
      </c>
      <c r="C55" s="6">
        <v>4545.8999999999996</v>
      </c>
      <c r="D55" s="6">
        <v>1969.8403998170199</v>
      </c>
      <c r="E55" s="6">
        <v>3017</v>
      </c>
    </row>
    <row r="56" spans="1:5" x14ac:dyDescent="0.2">
      <c r="A56" s="1">
        <v>2005</v>
      </c>
      <c r="B56" s="1" t="s">
        <v>3</v>
      </c>
      <c r="C56" s="6">
        <v>4690.6000000000004</v>
      </c>
      <c r="D56" s="6">
        <v>1899.1359497707399</v>
      </c>
      <c r="E56" s="6">
        <v>3069</v>
      </c>
    </row>
    <row r="57" spans="1:5" x14ac:dyDescent="0.2">
      <c r="A57" s="1">
        <v>2006</v>
      </c>
      <c r="B57" s="1" t="s">
        <v>3</v>
      </c>
      <c r="C57" s="6">
        <v>4804.3</v>
      </c>
      <c r="D57" s="6">
        <v>1843.94435289539</v>
      </c>
      <c r="E57" s="6">
        <v>3470</v>
      </c>
    </row>
    <row r="58" spans="1:5" x14ac:dyDescent="0.2">
      <c r="A58" s="1">
        <v>2007</v>
      </c>
      <c r="B58" s="1" t="s">
        <v>3</v>
      </c>
      <c r="C58" s="6">
        <v>4781.6000000000004</v>
      </c>
      <c r="D58" s="6">
        <v>1913.0729528527399</v>
      </c>
      <c r="E58" s="6">
        <v>3759</v>
      </c>
    </row>
    <row r="59" spans="1:5" x14ac:dyDescent="0.2">
      <c r="A59" s="1">
        <v>2008</v>
      </c>
      <c r="B59" s="1" t="s">
        <v>3</v>
      </c>
      <c r="C59" s="6">
        <v>4836.1000000000004</v>
      </c>
      <c r="D59" s="6">
        <v>1825.33112240477</v>
      </c>
      <c r="E59" s="6">
        <v>3449</v>
      </c>
    </row>
    <row r="60" spans="1:5" x14ac:dyDescent="0.2">
      <c r="A60" s="1">
        <v>2009</v>
      </c>
      <c r="B60" s="1" t="s">
        <v>3</v>
      </c>
      <c r="C60" s="6">
        <v>4845.2</v>
      </c>
      <c r="D60" s="6">
        <v>1808.0376178952999</v>
      </c>
      <c r="E60" s="6">
        <v>3130</v>
      </c>
    </row>
    <row r="61" spans="1:5" x14ac:dyDescent="0.2">
      <c r="A61" s="1">
        <v>2010</v>
      </c>
      <c r="B61" s="1" t="s">
        <v>3</v>
      </c>
      <c r="C61" s="6">
        <v>4948.2</v>
      </c>
      <c r="D61" s="6">
        <v>1843.73525961365</v>
      </c>
      <c r="E61" s="6">
        <v>4080</v>
      </c>
    </row>
    <row r="62" spans="1:5" x14ac:dyDescent="0.2">
      <c r="A62" s="1">
        <v>2011</v>
      </c>
      <c r="B62" s="1" t="s">
        <v>3</v>
      </c>
      <c r="C62" s="6">
        <v>5043.5</v>
      </c>
      <c r="D62" s="6">
        <v>2014.01973396837</v>
      </c>
      <c r="E62" s="6">
        <v>3504</v>
      </c>
    </row>
    <row r="63" spans="1:5" x14ac:dyDescent="0.2">
      <c r="A63" s="1">
        <v>2012</v>
      </c>
      <c r="B63" s="1" t="s">
        <v>3</v>
      </c>
      <c r="C63" s="6">
        <v>5090.7</v>
      </c>
      <c r="D63" s="6">
        <v>1931.7116484088201</v>
      </c>
      <c r="E63" s="6">
        <v>4346</v>
      </c>
    </row>
    <row r="64" spans="1:5" x14ac:dyDescent="0.2">
      <c r="A64" s="1">
        <v>2013</v>
      </c>
      <c r="B64" s="1" t="s">
        <v>3</v>
      </c>
      <c r="C64" s="6">
        <v>5187.3999999999996</v>
      </c>
      <c r="D64" s="6">
        <v>1652.3177789322399</v>
      </c>
      <c r="E64" s="6">
        <v>3066</v>
      </c>
    </row>
    <row r="65" spans="1:5" x14ac:dyDescent="0.2">
      <c r="A65" s="1">
        <v>2014</v>
      </c>
      <c r="B65" s="1" t="s">
        <v>3</v>
      </c>
      <c r="C65" s="6">
        <v>5205.6000000000004</v>
      </c>
      <c r="D65" s="6">
        <v>1597.8437497350899</v>
      </c>
      <c r="E65" s="6">
        <v>2466</v>
      </c>
    </row>
    <row r="66" spans="1:5" x14ac:dyDescent="0.2">
      <c r="A66" s="1">
        <v>2015</v>
      </c>
      <c r="B66" s="1" t="s">
        <v>3</v>
      </c>
      <c r="C66" s="6">
        <v>5280.7</v>
      </c>
      <c r="D66" s="6">
        <v>1558.8743744629001</v>
      </c>
      <c r="E66" s="6">
        <v>2577</v>
      </c>
    </row>
    <row r="67" spans="1:5" x14ac:dyDescent="0.2">
      <c r="A67" s="1">
        <v>2016</v>
      </c>
      <c r="B67" s="1" t="s">
        <v>3</v>
      </c>
      <c r="C67" s="6">
        <v>5393.8</v>
      </c>
      <c r="D67" s="6">
        <v>1606.8052686460001</v>
      </c>
      <c r="E67" s="6">
        <v>2527</v>
      </c>
    </row>
    <row r="68" spans="1:5" x14ac:dyDescent="0.2">
      <c r="A68" s="1">
        <v>2017</v>
      </c>
      <c r="B68" s="1" t="s">
        <v>3</v>
      </c>
      <c r="C68" s="6">
        <v>5635.9</v>
      </c>
      <c r="D68" s="6">
        <v>1633.7634072521601</v>
      </c>
      <c r="E68" s="6">
        <v>2709</v>
      </c>
    </row>
    <row r="69" spans="1:5" x14ac:dyDescent="0.2">
      <c r="A69" s="1">
        <v>2018</v>
      </c>
      <c r="B69" s="1" t="s">
        <v>3</v>
      </c>
      <c r="C69" s="6">
        <v>5731.6</v>
      </c>
      <c r="D69" s="6">
        <v>1616.66242087162</v>
      </c>
      <c r="E69" s="6">
        <v>2292</v>
      </c>
    </row>
    <row r="70" spans="1:5" x14ac:dyDescent="0.2">
      <c r="A70" s="1">
        <v>2019</v>
      </c>
      <c r="B70" s="1" t="s">
        <v>3</v>
      </c>
      <c r="C70" s="6">
        <v>5994.9</v>
      </c>
      <c r="D70" s="6">
        <v>1661.40332643126</v>
      </c>
      <c r="E70" s="6">
        <v>2922</v>
      </c>
    </row>
    <row r="71" spans="1:5" x14ac:dyDescent="0.2">
      <c r="A71">
        <v>1997</v>
      </c>
      <c r="B71" t="s">
        <v>4</v>
      </c>
      <c r="C71" s="6">
        <v>26194.6</v>
      </c>
      <c r="D71" s="6">
        <v>19772.727775911899</v>
      </c>
      <c r="E71" s="6">
        <v>24682</v>
      </c>
    </row>
    <row r="72" spans="1:5" x14ac:dyDescent="0.2">
      <c r="A72">
        <v>1998</v>
      </c>
      <c r="B72" t="s">
        <v>4</v>
      </c>
      <c r="C72" s="6">
        <v>27189.9</v>
      </c>
      <c r="D72" s="6">
        <v>19915.099972989501</v>
      </c>
      <c r="E72" s="6">
        <v>25444</v>
      </c>
    </row>
    <row r="73" spans="1:5" x14ac:dyDescent="0.2">
      <c r="A73">
        <v>1999</v>
      </c>
      <c r="B73" t="s">
        <v>4</v>
      </c>
      <c r="C73" s="6">
        <v>28655.1</v>
      </c>
      <c r="D73" s="6">
        <v>20572.997286395501</v>
      </c>
      <c r="E73" s="6">
        <v>27201</v>
      </c>
    </row>
    <row r="74" spans="1:5" x14ac:dyDescent="0.2">
      <c r="A74">
        <v>2000</v>
      </c>
      <c r="B74" t="s">
        <v>4</v>
      </c>
      <c r="C74" s="6">
        <v>29571.599999999999</v>
      </c>
      <c r="D74" s="6">
        <v>22199.3523628082</v>
      </c>
      <c r="E74" s="6">
        <v>29119</v>
      </c>
    </row>
    <row r="75" spans="1:5" x14ac:dyDescent="0.2">
      <c r="A75">
        <v>2001</v>
      </c>
      <c r="B75" t="s">
        <v>4</v>
      </c>
      <c r="C75" s="6">
        <v>30377.3</v>
      </c>
      <c r="D75" s="6">
        <v>21394.906579245901</v>
      </c>
      <c r="E75" s="6">
        <v>25275</v>
      </c>
    </row>
    <row r="76" spans="1:5" x14ac:dyDescent="0.2">
      <c r="A76">
        <v>2002</v>
      </c>
      <c r="B76" t="s">
        <v>4</v>
      </c>
      <c r="C76" s="6">
        <v>31608.400000000001</v>
      </c>
      <c r="D76" s="6">
        <v>20569.668341714201</v>
      </c>
      <c r="E76" s="6">
        <v>30022</v>
      </c>
    </row>
    <row r="77" spans="1:5" x14ac:dyDescent="0.2">
      <c r="A77">
        <v>2003</v>
      </c>
      <c r="B77" t="s">
        <v>4</v>
      </c>
      <c r="C77" s="6">
        <v>32018.400000000001</v>
      </c>
      <c r="D77" s="6">
        <v>22042.7209081771</v>
      </c>
      <c r="E77" s="6">
        <v>29780</v>
      </c>
    </row>
    <row r="78" spans="1:5" x14ac:dyDescent="0.2">
      <c r="A78">
        <v>2004</v>
      </c>
      <c r="B78" t="s">
        <v>4</v>
      </c>
      <c r="C78" s="6">
        <v>32360</v>
      </c>
      <c r="D78" s="6">
        <v>23764.232814101</v>
      </c>
      <c r="E78" s="6">
        <v>30360</v>
      </c>
    </row>
    <row r="79" spans="1:5" x14ac:dyDescent="0.2">
      <c r="A79">
        <v>2005</v>
      </c>
      <c r="B79" t="s">
        <v>4</v>
      </c>
      <c r="C79" s="6">
        <v>32761.9</v>
      </c>
      <c r="D79" s="6">
        <v>22963.779579054299</v>
      </c>
      <c r="E79" s="6">
        <v>29780</v>
      </c>
    </row>
    <row r="80" spans="1:5" x14ac:dyDescent="0.2">
      <c r="A80">
        <v>2006</v>
      </c>
      <c r="B80" t="s">
        <v>4</v>
      </c>
      <c r="C80" s="6">
        <v>32920.800000000003</v>
      </c>
      <c r="D80" s="6">
        <v>21708.314296092602</v>
      </c>
      <c r="E80" s="6">
        <v>24126</v>
      </c>
    </row>
    <row r="81" spans="1:5" x14ac:dyDescent="0.2">
      <c r="A81">
        <v>2007</v>
      </c>
      <c r="B81" t="s">
        <v>4</v>
      </c>
      <c r="C81" s="6">
        <v>33235.4</v>
      </c>
      <c r="D81" s="6">
        <v>23297.983776389199</v>
      </c>
      <c r="E81" s="6">
        <v>28269</v>
      </c>
    </row>
    <row r="82" spans="1:5" x14ac:dyDescent="0.2">
      <c r="A82">
        <v>2008</v>
      </c>
      <c r="B82" t="s">
        <v>4</v>
      </c>
      <c r="C82" s="6">
        <v>33797.300000000003</v>
      </c>
      <c r="D82" s="6">
        <v>21123.072221230901</v>
      </c>
      <c r="E82" s="6">
        <v>27805</v>
      </c>
    </row>
    <row r="83" spans="1:5" x14ac:dyDescent="0.2">
      <c r="A83">
        <v>2009</v>
      </c>
      <c r="B83" t="s">
        <v>4</v>
      </c>
      <c r="C83" s="6">
        <v>33814.400000000001</v>
      </c>
      <c r="D83" s="6">
        <v>20563.774708960798</v>
      </c>
      <c r="E83" s="6">
        <v>25918</v>
      </c>
    </row>
    <row r="84" spans="1:5" x14ac:dyDescent="0.2">
      <c r="A84">
        <v>2010</v>
      </c>
      <c r="B84" t="s">
        <v>4</v>
      </c>
      <c r="C84" s="6">
        <v>34697.1</v>
      </c>
      <c r="D84" s="6">
        <v>20219.056497838301</v>
      </c>
      <c r="E84" s="6">
        <v>27817</v>
      </c>
    </row>
    <row r="85" spans="1:5" x14ac:dyDescent="0.2">
      <c r="A85">
        <v>2011</v>
      </c>
      <c r="B85" t="s">
        <v>4</v>
      </c>
      <c r="C85" s="6">
        <v>34805.199999999997</v>
      </c>
      <c r="D85" s="6">
        <v>20842.999065739499</v>
      </c>
      <c r="E85" s="6">
        <v>25701</v>
      </c>
    </row>
    <row r="86" spans="1:5" x14ac:dyDescent="0.2">
      <c r="A86">
        <v>2012</v>
      </c>
      <c r="B86" t="s">
        <v>4</v>
      </c>
      <c r="C86" s="6">
        <v>34477.9</v>
      </c>
      <c r="D86" s="6">
        <v>19110.556238796798</v>
      </c>
      <c r="E86" s="6">
        <v>18165</v>
      </c>
    </row>
    <row r="87" spans="1:5" x14ac:dyDescent="0.2">
      <c r="A87">
        <v>2013</v>
      </c>
      <c r="B87" t="s">
        <v>4</v>
      </c>
      <c r="C87" s="6">
        <v>34383.800000000003</v>
      </c>
      <c r="D87" s="6">
        <v>18184.504237173998</v>
      </c>
      <c r="E87" s="6">
        <v>21751</v>
      </c>
    </row>
    <row r="88" spans="1:5" x14ac:dyDescent="0.2">
      <c r="A88">
        <v>2014</v>
      </c>
      <c r="B88" t="s">
        <v>4</v>
      </c>
      <c r="C88" s="6">
        <v>34747.199999999997</v>
      </c>
      <c r="D88" s="6">
        <v>16417.227354484799</v>
      </c>
      <c r="E88" s="6">
        <v>18662</v>
      </c>
    </row>
    <row r="89" spans="1:5" x14ac:dyDescent="0.2">
      <c r="A89">
        <v>2015</v>
      </c>
      <c r="B89" t="s">
        <v>4</v>
      </c>
      <c r="C89" s="6">
        <v>35013.4</v>
      </c>
      <c r="D89" s="6">
        <v>16581.779882570401</v>
      </c>
      <c r="E89" s="6">
        <v>17614</v>
      </c>
    </row>
    <row r="90" spans="1:5" x14ac:dyDescent="0.2">
      <c r="A90">
        <v>2016</v>
      </c>
      <c r="B90" t="s">
        <v>4</v>
      </c>
      <c r="C90" s="6">
        <v>35489.1</v>
      </c>
      <c r="D90" s="6">
        <v>15435.024316884101</v>
      </c>
      <c r="E90" s="6">
        <v>17461</v>
      </c>
    </row>
    <row r="91" spans="1:5" x14ac:dyDescent="0.2">
      <c r="A91">
        <v>2017</v>
      </c>
      <c r="B91" t="s">
        <v>4</v>
      </c>
      <c r="C91" s="6">
        <v>36213.800000000003</v>
      </c>
      <c r="D91" s="6">
        <v>15985.542256496999</v>
      </c>
      <c r="E91" s="6">
        <v>19207</v>
      </c>
    </row>
    <row r="92" spans="1:5" x14ac:dyDescent="0.2">
      <c r="A92">
        <v>2018</v>
      </c>
      <c r="B92" t="s">
        <v>4</v>
      </c>
      <c r="C92" s="6">
        <v>36841.300000000003</v>
      </c>
      <c r="D92" s="6">
        <v>16539.141809487399</v>
      </c>
      <c r="E92" s="6">
        <v>19171</v>
      </c>
    </row>
    <row r="93" spans="1:5" x14ac:dyDescent="0.2">
      <c r="A93">
        <v>2019</v>
      </c>
      <c r="B93" t="s">
        <v>4</v>
      </c>
      <c r="C93" s="6">
        <v>38087.199999999997</v>
      </c>
      <c r="D93" s="6">
        <v>16123.6566612976</v>
      </c>
      <c r="E93" s="6">
        <v>17074</v>
      </c>
    </row>
    <row r="94" spans="1:5" x14ac:dyDescent="0.2">
      <c r="A94">
        <v>1997</v>
      </c>
      <c r="B94" t="s">
        <v>5</v>
      </c>
      <c r="C94" s="6">
        <v>22205.200000000001</v>
      </c>
      <c r="D94" s="6">
        <v>19677.9582169028</v>
      </c>
      <c r="E94" s="6">
        <v>57769</v>
      </c>
    </row>
    <row r="95" spans="1:5" x14ac:dyDescent="0.2">
      <c r="A95">
        <v>1998</v>
      </c>
      <c r="B95" t="s">
        <v>5</v>
      </c>
      <c r="C95" s="6">
        <v>23023.3</v>
      </c>
      <c r="D95" s="6">
        <v>20459.1518273291</v>
      </c>
      <c r="E95" s="6">
        <v>56833</v>
      </c>
    </row>
    <row r="96" spans="1:5" x14ac:dyDescent="0.2">
      <c r="A96">
        <v>1999</v>
      </c>
      <c r="B96" t="s">
        <v>5</v>
      </c>
      <c r="C96" s="6">
        <v>24525.7</v>
      </c>
      <c r="D96" s="6">
        <v>19492.596282074799</v>
      </c>
      <c r="E96" s="6">
        <v>58409</v>
      </c>
    </row>
    <row r="97" spans="1:5" x14ac:dyDescent="0.2">
      <c r="A97">
        <v>2000</v>
      </c>
      <c r="B97" t="s">
        <v>5</v>
      </c>
      <c r="C97" s="6">
        <v>25058</v>
      </c>
      <c r="D97" s="6">
        <v>20747.256448335698</v>
      </c>
      <c r="E97" s="6">
        <v>62815</v>
      </c>
    </row>
    <row r="98" spans="1:5" x14ac:dyDescent="0.2">
      <c r="A98">
        <v>2001</v>
      </c>
      <c r="B98" t="s">
        <v>5</v>
      </c>
      <c r="C98" s="6">
        <v>25444.799999999999</v>
      </c>
      <c r="D98" s="6">
        <v>22542.6582741645</v>
      </c>
      <c r="E98" s="6">
        <v>59977</v>
      </c>
    </row>
    <row r="99" spans="1:5" x14ac:dyDescent="0.2">
      <c r="A99">
        <v>2002</v>
      </c>
      <c r="B99" t="s">
        <v>5</v>
      </c>
      <c r="C99" s="6">
        <v>26653.8</v>
      </c>
      <c r="D99" s="6">
        <v>21159.2205920245</v>
      </c>
      <c r="E99" s="6">
        <v>58923</v>
      </c>
    </row>
    <row r="100" spans="1:5" x14ac:dyDescent="0.2">
      <c r="A100">
        <v>2003</v>
      </c>
      <c r="B100" t="s">
        <v>5</v>
      </c>
      <c r="C100" s="6">
        <v>27240.799999999999</v>
      </c>
      <c r="D100" s="6">
        <v>20844.159846377999</v>
      </c>
      <c r="E100" s="6">
        <v>58289</v>
      </c>
    </row>
    <row r="101" spans="1:5" x14ac:dyDescent="0.2">
      <c r="A101">
        <v>2004</v>
      </c>
      <c r="B101" t="s">
        <v>5</v>
      </c>
      <c r="C101" s="6">
        <v>28008.6</v>
      </c>
      <c r="D101" s="6">
        <v>21711.348506462</v>
      </c>
      <c r="E101" s="6">
        <v>57179</v>
      </c>
    </row>
    <row r="102" spans="1:5" x14ac:dyDescent="0.2">
      <c r="A102">
        <v>2005</v>
      </c>
      <c r="B102" t="s">
        <v>5</v>
      </c>
      <c r="C102" s="6">
        <v>28281</v>
      </c>
      <c r="D102" s="6">
        <v>19781.112804288699</v>
      </c>
      <c r="E102" s="6">
        <v>50441</v>
      </c>
    </row>
    <row r="103" spans="1:5" x14ac:dyDescent="0.2">
      <c r="A103">
        <v>2006</v>
      </c>
      <c r="B103" t="s">
        <v>5</v>
      </c>
      <c r="C103" s="6">
        <v>28787.200000000001</v>
      </c>
      <c r="D103" s="6">
        <v>19376.404288375401</v>
      </c>
      <c r="E103" s="6">
        <v>51765</v>
      </c>
    </row>
    <row r="104" spans="1:5" x14ac:dyDescent="0.2">
      <c r="A104">
        <v>2007</v>
      </c>
      <c r="B104" t="s">
        <v>5</v>
      </c>
      <c r="C104" s="6">
        <v>28962.400000000001</v>
      </c>
      <c r="D104" s="6">
        <v>19437.141633761399</v>
      </c>
      <c r="E104" s="6">
        <v>55144</v>
      </c>
    </row>
    <row r="105" spans="1:5" x14ac:dyDescent="0.2">
      <c r="A105">
        <v>2008</v>
      </c>
      <c r="B105" t="s">
        <v>5</v>
      </c>
      <c r="C105" s="6">
        <v>29215.200000000001</v>
      </c>
      <c r="D105" s="6">
        <v>18309.8364315324</v>
      </c>
      <c r="E105" s="6">
        <v>46920</v>
      </c>
    </row>
    <row r="106" spans="1:5" x14ac:dyDescent="0.2">
      <c r="A106">
        <v>2009</v>
      </c>
      <c r="B106" t="s">
        <v>5</v>
      </c>
      <c r="C106" s="6">
        <v>28802.1</v>
      </c>
      <c r="D106" s="6">
        <v>18062.321771411302</v>
      </c>
      <c r="E106" s="6">
        <v>40164</v>
      </c>
    </row>
    <row r="107" spans="1:5" x14ac:dyDescent="0.2">
      <c r="A107">
        <v>2010</v>
      </c>
      <c r="B107" t="s">
        <v>5</v>
      </c>
      <c r="C107" s="6">
        <v>29404.400000000001</v>
      </c>
      <c r="D107" s="6">
        <v>17692.176618822599</v>
      </c>
      <c r="E107" s="6">
        <v>46816</v>
      </c>
    </row>
    <row r="108" spans="1:5" x14ac:dyDescent="0.2">
      <c r="A108">
        <v>2011</v>
      </c>
      <c r="B108" t="s">
        <v>5</v>
      </c>
      <c r="C108" s="6">
        <v>29467.599999999999</v>
      </c>
      <c r="D108" s="6">
        <v>17786.418448324101</v>
      </c>
      <c r="E108" s="6">
        <v>44579</v>
      </c>
    </row>
    <row r="109" spans="1:5" x14ac:dyDescent="0.2">
      <c r="A109">
        <v>2012</v>
      </c>
      <c r="B109" t="s">
        <v>5</v>
      </c>
      <c r="C109" s="6">
        <v>29117.4</v>
      </c>
      <c r="D109" s="6">
        <v>16104.3548227547</v>
      </c>
      <c r="E109" s="6">
        <v>42971</v>
      </c>
    </row>
    <row r="110" spans="1:5" x14ac:dyDescent="0.2">
      <c r="A110">
        <v>2013</v>
      </c>
      <c r="B110" t="s">
        <v>5</v>
      </c>
      <c r="C110" s="6">
        <v>29017</v>
      </c>
      <c r="D110" s="6">
        <v>14235.3709646106</v>
      </c>
      <c r="E110" s="6">
        <v>37713</v>
      </c>
    </row>
    <row r="111" spans="1:5" x14ac:dyDescent="0.2">
      <c r="A111">
        <v>2014</v>
      </c>
      <c r="B111" t="s">
        <v>5</v>
      </c>
      <c r="C111" s="6">
        <v>29039.599999999999</v>
      </c>
      <c r="D111" s="6">
        <v>13691.2265848811</v>
      </c>
      <c r="E111" s="6">
        <v>35054</v>
      </c>
    </row>
    <row r="112" spans="1:5" x14ac:dyDescent="0.2">
      <c r="A112">
        <v>2015</v>
      </c>
      <c r="B112" t="s">
        <v>5</v>
      </c>
      <c r="C112" s="6">
        <v>29275.7</v>
      </c>
      <c r="D112" s="6">
        <v>14040.229558193299</v>
      </c>
      <c r="E112" s="6">
        <v>37777</v>
      </c>
    </row>
    <row r="113" spans="1:5" x14ac:dyDescent="0.2">
      <c r="A113">
        <v>2016</v>
      </c>
      <c r="B113" t="s">
        <v>5</v>
      </c>
      <c r="C113" s="6">
        <v>29546</v>
      </c>
      <c r="D113" s="6">
        <v>14836.3459484291</v>
      </c>
      <c r="E113" s="6">
        <v>36070</v>
      </c>
    </row>
    <row r="114" spans="1:5" x14ac:dyDescent="0.2">
      <c r="A114">
        <v>2017</v>
      </c>
      <c r="B114" t="s">
        <v>5</v>
      </c>
      <c r="C114" s="6">
        <v>30243</v>
      </c>
      <c r="D114" s="6">
        <v>13762.1372520809</v>
      </c>
      <c r="E114" s="6">
        <v>40133</v>
      </c>
    </row>
    <row r="115" spans="1:5" x14ac:dyDescent="0.2">
      <c r="A115">
        <v>2018</v>
      </c>
      <c r="B115" t="s">
        <v>5</v>
      </c>
      <c r="C115" s="6">
        <v>30645.4</v>
      </c>
      <c r="D115" s="6">
        <v>13559.641809053999</v>
      </c>
      <c r="E115" s="6">
        <v>42282</v>
      </c>
    </row>
    <row r="116" spans="1:5" x14ac:dyDescent="0.2">
      <c r="A116">
        <v>2019</v>
      </c>
      <c r="B116" t="s">
        <v>5</v>
      </c>
      <c r="C116" s="6">
        <v>31046.5</v>
      </c>
      <c r="D116" s="6">
        <v>13148.4894456082</v>
      </c>
      <c r="E116" s="6">
        <v>44770</v>
      </c>
    </row>
    <row r="117" spans="1:5" x14ac:dyDescent="0.2">
      <c r="A117">
        <v>1997</v>
      </c>
      <c r="B117" t="s">
        <v>6</v>
      </c>
      <c r="C117" s="6">
        <v>235964.79999999999</v>
      </c>
      <c r="D117" s="6">
        <v>83227.8849937247</v>
      </c>
      <c r="E117" s="6">
        <v>539992</v>
      </c>
    </row>
    <row r="118" spans="1:5" x14ac:dyDescent="0.2">
      <c r="A118">
        <v>1998</v>
      </c>
      <c r="B118" t="s">
        <v>6</v>
      </c>
      <c r="C118" s="6">
        <v>243815.1</v>
      </c>
      <c r="D118" s="6">
        <v>84404.262586361103</v>
      </c>
      <c r="E118" s="6">
        <v>532577</v>
      </c>
    </row>
    <row r="119" spans="1:5" x14ac:dyDescent="0.2">
      <c r="A119">
        <v>1999</v>
      </c>
      <c r="B119" t="s">
        <v>6</v>
      </c>
      <c r="C119" s="6">
        <v>258550.39999999999</v>
      </c>
      <c r="D119" s="6">
        <v>84209.5137711227</v>
      </c>
      <c r="E119" s="6">
        <v>532798</v>
      </c>
    </row>
    <row r="120" spans="1:5" x14ac:dyDescent="0.2">
      <c r="A120">
        <v>2000</v>
      </c>
      <c r="B120" t="s">
        <v>6</v>
      </c>
      <c r="C120" s="6">
        <v>270025</v>
      </c>
      <c r="D120" s="6">
        <v>84698.254150708293</v>
      </c>
      <c r="E120" s="6">
        <v>543274</v>
      </c>
    </row>
    <row r="121" spans="1:5" x14ac:dyDescent="0.2">
      <c r="A121">
        <v>2001</v>
      </c>
      <c r="B121" t="s">
        <v>6</v>
      </c>
      <c r="C121" s="6">
        <v>274723.3</v>
      </c>
      <c r="D121" s="6">
        <v>82925.179534544703</v>
      </c>
      <c r="E121" s="6">
        <v>520767</v>
      </c>
    </row>
    <row r="122" spans="1:5" x14ac:dyDescent="0.2">
      <c r="A122">
        <v>2002</v>
      </c>
      <c r="B122" t="s">
        <v>6</v>
      </c>
      <c r="C122" s="6">
        <v>282805.5</v>
      </c>
      <c r="D122" s="6">
        <v>84397.460503521797</v>
      </c>
      <c r="E122" s="6">
        <v>540102</v>
      </c>
    </row>
    <row r="123" spans="1:5" x14ac:dyDescent="0.2">
      <c r="A123">
        <v>2003</v>
      </c>
      <c r="B123" t="s">
        <v>6</v>
      </c>
      <c r="C123" s="6">
        <v>286045.59999999998</v>
      </c>
      <c r="D123" s="6">
        <v>89336.969814428594</v>
      </c>
      <c r="E123" s="6">
        <v>559240</v>
      </c>
    </row>
    <row r="124" spans="1:5" x14ac:dyDescent="0.2">
      <c r="A124">
        <v>2004</v>
      </c>
      <c r="B124" t="s">
        <v>6</v>
      </c>
      <c r="C124" s="6">
        <v>293280.09999999998</v>
      </c>
      <c r="D124" s="6">
        <v>89838.272407716096</v>
      </c>
      <c r="E124" s="6">
        <v>552681</v>
      </c>
    </row>
    <row r="125" spans="1:5" x14ac:dyDescent="0.2">
      <c r="A125">
        <v>2005</v>
      </c>
      <c r="B125" t="s">
        <v>6</v>
      </c>
      <c r="C125" s="6">
        <v>297892.2</v>
      </c>
      <c r="D125" s="6">
        <v>86344.166030283202</v>
      </c>
      <c r="E125" s="6">
        <v>548795</v>
      </c>
    </row>
    <row r="126" spans="1:5" x14ac:dyDescent="0.2">
      <c r="A126">
        <v>2006</v>
      </c>
      <c r="B126" t="s">
        <v>6</v>
      </c>
      <c r="C126" s="6">
        <v>301495.8</v>
      </c>
      <c r="D126" s="6">
        <v>84678.304166591799</v>
      </c>
      <c r="E126" s="6">
        <v>545155</v>
      </c>
    </row>
    <row r="127" spans="1:5" x14ac:dyDescent="0.2">
      <c r="A127">
        <v>2007</v>
      </c>
      <c r="B127" t="s">
        <v>6</v>
      </c>
      <c r="C127" s="6">
        <v>309161.5</v>
      </c>
      <c r="D127" s="6">
        <v>88577.940331673701</v>
      </c>
      <c r="E127" s="6">
        <v>535026</v>
      </c>
    </row>
    <row r="128" spans="1:5" x14ac:dyDescent="0.2">
      <c r="A128">
        <v>2008</v>
      </c>
      <c r="B128" t="s">
        <v>6</v>
      </c>
      <c r="C128" s="6">
        <v>314535.2</v>
      </c>
      <c r="D128" s="6">
        <v>83766.784761212795</v>
      </c>
      <c r="E128" s="6">
        <v>528726</v>
      </c>
    </row>
    <row r="129" spans="1:5" x14ac:dyDescent="0.2">
      <c r="A129">
        <v>2009</v>
      </c>
      <c r="B129" t="s">
        <v>6</v>
      </c>
      <c r="C129" s="6">
        <v>311089.2</v>
      </c>
      <c r="D129" s="6">
        <v>82358.830047845506</v>
      </c>
      <c r="E129" s="6">
        <v>500545</v>
      </c>
    </row>
    <row r="130" spans="1:5" x14ac:dyDescent="0.2">
      <c r="A130">
        <v>2010</v>
      </c>
      <c r="B130" t="s">
        <v>6</v>
      </c>
      <c r="C130" s="6">
        <v>317802.09999999998</v>
      </c>
      <c r="D130" s="6">
        <v>79480.531234273702</v>
      </c>
      <c r="E130" s="6">
        <v>494191</v>
      </c>
    </row>
    <row r="131" spans="1:5" x14ac:dyDescent="0.2">
      <c r="A131">
        <v>2011</v>
      </c>
      <c r="B131" t="s">
        <v>6</v>
      </c>
      <c r="C131" s="6">
        <v>324565.7</v>
      </c>
      <c r="D131" s="6">
        <v>81538.304268233798</v>
      </c>
      <c r="E131" s="6">
        <v>502643</v>
      </c>
    </row>
    <row r="132" spans="1:5" x14ac:dyDescent="0.2">
      <c r="A132">
        <v>2012</v>
      </c>
      <c r="B132" t="s">
        <v>6</v>
      </c>
      <c r="C132" s="6">
        <v>328854.59999999998</v>
      </c>
      <c r="D132" s="6">
        <v>79946.366009233097</v>
      </c>
      <c r="E132" s="6">
        <v>498873</v>
      </c>
    </row>
    <row r="133" spans="1:5" x14ac:dyDescent="0.2">
      <c r="A133">
        <v>2013</v>
      </c>
      <c r="B133" t="s">
        <v>6</v>
      </c>
      <c r="C133" s="6">
        <v>333047.8</v>
      </c>
      <c r="D133" s="6">
        <v>80136.615115863096</v>
      </c>
      <c r="E133" s="6">
        <v>510052</v>
      </c>
    </row>
    <row r="134" spans="1:5" x14ac:dyDescent="0.2">
      <c r="A134">
        <v>2014</v>
      </c>
      <c r="B134" t="s">
        <v>6</v>
      </c>
      <c r="C134" s="6">
        <v>338319</v>
      </c>
      <c r="D134" s="6">
        <v>77982.947864062706</v>
      </c>
      <c r="E134" s="6">
        <v>523891</v>
      </c>
    </row>
    <row r="135" spans="1:5" x14ac:dyDescent="0.2">
      <c r="A135">
        <v>2015</v>
      </c>
      <c r="B135" t="s">
        <v>6</v>
      </c>
      <c r="C135" s="6">
        <v>341688</v>
      </c>
      <c r="D135" s="6">
        <v>78505.163130296394</v>
      </c>
      <c r="E135" s="6">
        <v>518685</v>
      </c>
    </row>
    <row r="136" spans="1:5" x14ac:dyDescent="0.2">
      <c r="A136">
        <v>2016</v>
      </c>
      <c r="B136" t="s">
        <v>6</v>
      </c>
      <c r="C136" s="6">
        <v>347197.7</v>
      </c>
      <c r="D136" s="6">
        <v>78147.3454725989</v>
      </c>
      <c r="E136" s="6">
        <v>507834</v>
      </c>
    </row>
    <row r="137" spans="1:5" x14ac:dyDescent="0.2">
      <c r="A137">
        <v>2017</v>
      </c>
      <c r="B137" t="s">
        <v>6</v>
      </c>
      <c r="C137" s="6">
        <v>357097</v>
      </c>
      <c r="D137" s="6">
        <v>80253.889212876893</v>
      </c>
      <c r="E137" s="6">
        <v>512528</v>
      </c>
    </row>
    <row r="138" spans="1:5" x14ac:dyDescent="0.2">
      <c r="A138">
        <v>2018</v>
      </c>
      <c r="B138" t="s">
        <v>6</v>
      </c>
      <c r="C138" s="6">
        <v>368214.8</v>
      </c>
      <c r="D138" s="6">
        <v>81825.711135897203</v>
      </c>
      <c r="E138" s="6">
        <v>537481</v>
      </c>
    </row>
    <row r="139" spans="1:5" x14ac:dyDescent="0.2">
      <c r="A139">
        <v>2019</v>
      </c>
      <c r="B139" t="s">
        <v>6</v>
      </c>
      <c r="C139" s="6">
        <v>379057.7</v>
      </c>
      <c r="D139" s="6">
        <v>83589.932371169707</v>
      </c>
      <c r="E139" s="6">
        <v>561710</v>
      </c>
    </row>
    <row r="140" spans="1:5" x14ac:dyDescent="0.2">
      <c r="A140">
        <v>1997</v>
      </c>
      <c r="B140" t="s">
        <v>7</v>
      </c>
      <c r="C140" s="6">
        <v>443713.9</v>
      </c>
      <c r="D140" s="6">
        <v>193374.986299204</v>
      </c>
      <c r="E140" s="6">
        <v>696234</v>
      </c>
    </row>
    <row r="141" spans="1:5" x14ac:dyDescent="0.2">
      <c r="A141">
        <v>1998</v>
      </c>
      <c r="B141" t="s">
        <v>7</v>
      </c>
      <c r="C141" s="6">
        <v>463523.7</v>
      </c>
      <c r="D141" s="6">
        <v>194223.26285572301</v>
      </c>
      <c r="E141" s="6">
        <v>683819</v>
      </c>
    </row>
    <row r="142" spans="1:5" x14ac:dyDescent="0.2">
      <c r="A142">
        <v>1999</v>
      </c>
      <c r="B142" t="s">
        <v>7</v>
      </c>
      <c r="C142" s="6">
        <v>495859.1</v>
      </c>
      <c r="D142" s="6">
        <v>199325.759138419</v>
      </c>
      <c r="E142" s="6">
        <v>691200</v>
      </c>
    </row>
    <row r="143" spans="1:5" x14ac:dyDescent="0.2">
      <c r="A143">
        <v>2000</v>
      </c>
      <c r="B143" t="s">
        <v>7</v>
      </c>
      <c r="C143" s="6">
        <v>527438</v>
      </c>
      <c r="D143" s="6">
        <v>209162.44789556501</v>
      </c>
      <c r="E143" s="6">
        <v>694823</v>
      </c>
    </row>
    <row r="144" spans="1:5" x14ac:dyDescent="0.2">
      <c r="A144">
        <v>2001</v>
      </c>
      <c r="B144" t="s">
        <v>7</v>
      </c>
      <c r="C144" s="6">
        <v>536953.5</v>
      </c>
      <c r="D144" s="6">
        <v>201008.03831712101</v>
      </c>
      <c r="E144" s="6">
        <v>655363</v>
      </c>
    </row>
    <row r="145" spans="1:5" x14ac:dyDescent="0.2">
      <c r="A145">
        <v>2002</v>
      </c>
      <c r="B145" t="s">
        <v>7</v>
      </c>
      <c r="C145" s="6">
        <v>555154.69999999995</v>
      </c>
      <c r="D145" s="6">
        <v>205308.72878321301</v>
      </c>
      <c r="E145" s="6">
        <v>685859</v>
      </c>
    </row>
    <row r="146" spans="1:5" x14ac:dyDescent="0.2">
      <c r="A146">
        <v>2003</v>
      </c>
      <c r="B146" t="s">
        <v>7</v>
      </c>
      <c r="C146" s="6">
        <v>561879</v>
      </c>
      <c r="D146" s="6">
        <v>207214.72642580501</v>
      </c>
      <c r="E146" s="6">
        <v>653641</v>
      </c>
    </row>
    <row r="147" spans="1:5" x14ac:dyDescent="0.2">
      <c r="A147">
        <v>2004</v>
      </c>
      <c r="B147" t="s">
        <v>7</v>
      </c>
      <c r="C147" s="6">
        <v>577813.69999999995</v>
      </c>
      <c r="D147" s="6">
        <v>203776.599962126</v>
      </c>
      <c r="E147" s="6">
        <v>684082</v>
      </c>
    </row>
    <row r="148" spans="1:5" x14ac:dyDescent="0.2">
      <c r="A148">
        <v>2005</v>
      </c>
      <c r="B148" t="s">
        <v>7</v>
      </c>
      <c r="C148" s="6">
        <v>596629.19999999995</v>
      </c>
      <c r="D148" s="6">
        <v>204370.14026615201</v>
      </c>
      <c r="E148" s="6">
        <v>663602</v>
      </c>
    </row>
    <row r="149" spans="1:5" x14ac:dyDescent="0.2">
      <c r="A149">
        <v>2006</v>
      </c>
      <c r="B149" t="s">
        <v>7</v>
      </c>
      <c r="C149" s="6">
        <v>608043.80000000005</v>
      </c>
      <c r="D149" s="6">
        <v>195030.44175524</v>
      </c>
      <c r="E149" s="6">
        <v>676312</v>
      </c>
    </row>
    <row r="150" spans="1:5" x14ac:dyDescent="0.2">
      <c r="A150">
        <v>2007</v>
      </c>
      <c r="B150" t="s">
        <v>7</v>
      </c>
      <c r="C150" s="6">
        <v>613525.9</v>
      </c>
      <c r="D150" s="6">
        <v>199201.77415078599</v>
      </c>
      <c r="E150" s="6">
        <v>678378</v>
      </c>
    </row>
    <row r="151" spans="1:5" x14ac:dyDescent="0.2">
      <c r="A151">
        <v>2008</v>
      </c>
      <c r="B151" t="s">
        <v>7</v>
      </c>
      <c r="C151" s="6">
        <v>611784.19999999995</v>
      </c>
      <c r="D151" s="6">
        <v>191006.75246244701</v>
      </c>
      <c r="E151" s="6">
        <v>663190</v>
      </c>
    </row>
    <row r="152" spans="1:5" x14ac:dyDescent="0.2">
      <c r="A152">
        <v>2009</v>
      </c>
      <c r="B152" t="s">
        <v>7</v>
      </c>
      <c r="C152" s="6">
        <v>591636.5</v>
      </c>
      <c r="D152" s="6">
        <v>165523.72618957501</v>
      </c>
      <c r="E152" s="6">
        <v>553589</v>
      </c>
    </row>
    <row r="153" spans="1:5" x14ac:dyDescent="0.2">
      <c r="A153">
        <v>2010</v>
      </c>
      <c r="B153" t="s">
        <v>7</v>
      </c>
      <c r="C153" s="6">
        <v>609770.30000000005</v>
      </c>
      <c r="D153" s="6">
        <v>173133.31860120301</v>
      </c>
      <c r="E153" s="6">
        <v>571254</v>
      </c>
    </row>
    <row r="154" spans="1:5" x14ac:dyDescent="0.2">
      <c r="A154">
        <v>2011</v>
      </c>
      <c r="B154" t="s">
        <v>7</v>
      </c>
      <c r="C154" s="6">
        <v>625936.9</v>
      </c>
      <c r="D154" s="6">
        <v>172318.361102984</v>
      </c>
      <c r="E154" s="6">
        <v>604138</v>
      </c>
    </row>
    <row r="155" spans="1:5" x14ac:dyDescent="0.2">
      <c r="A155">
        <v>2012</v>
      </c>
      <c r="B155" t="s">
        <v>7</v>
      </c>
      <c r="C155" s="6">
        <v>634944.30000000005</v>
      </c>
      <c r="D155" s="6">
        <v>168597.07682926001</v>
      </c>
      <c r="E155" s="6">
        <v>603623</v>
      </c>
    </row>
    <row r="156" spans="1:5" x14ac:dyDescent="0.2">
      <c r="A156">
        <v>2013</v>
      </c>
      <c r="B156" t="s">
        <v>7</v>
      </c>
      <c r="C156" s="6">
        <v>643937</v>
      </c>
      <c r="D156" s="6">
        <v>168404.62573573799</v>
      </c>
      <c r="E156" s="6">
        <v>584865</v>
      </c>
    </row>
    <row r="157" spans="1:5" x14ac:dyDescent="0.2">
      <c r="A157">
        <v>2014</v>
      </c>
      <c r="B157" t="s">
        <v>7</v>
      </c>
      <c r="C157" s="6">
        <v>659861.19999999995</v>
      </c>
      <c r="D157" s="6">
        <v>164123.23004617699</v>
      </c>
      <c r="E157" s="6">
        <v>584285</v>
      </c>
    </row>
    <row r="158" spans="1:5" x14ac:dyDescent="0.2">
      <c r="A158">
        <v>2015</v>
      </c>
      <c r="B158" t="s">
        <v>7</v>
      </c>
      <c r="C158" s="6">
        <v>677384</v>
      </c>
      <c r="D158" s="6">
        <v>163599.64587219799</v>
      </c>
      <c r="E158" s="6">
        <v>580587</v>
      </c>
    </row>
    <row r="159" spans="1:5" x14ac:dyDescent="0.2">
      <c r="A159">
        <v>2016</v>
      </c>
      <c r="B159" t="s">
        <v>7</v>
      </c>
      <c r="C159" s="6">
        <v>692620.80000000005</v>
      </c>
      <c r="D159" s="6">
        <v>162394.18723444501</v>
      </c>
      <c r="E159" s="6">
        <v>598542</v>
      </c>
    </row>
    <row r="160" spans="1:5" x14ac:dyDescent="0.2">
      <c r="A160">
        <v>2017</v>
      </c>
      <c r="B160" t="s">
        <v>7</v>
      </c>
      <c r="C160" s="6">
        <v>711695.1</v>
      </c>
      <c r="D160" s="6">
        <v>158944.513584965</v>
      </c>
      <c r="E160" s="6">
        <v>602357</v>
      </c>
    </row>
    <row r="161" spans="1:5" x14ac:dyDescent="0.2">
      <c r="A161">
        <v>2018</v>
      </c>
      <c r="B161" t="s">
        <v>7</v>
      </c>
      <c r="C161" s="6">
        <v>735936.1</v>
      </c>
      <c r="D161" s="6">
        <v>167268.39201867799</v>
      </c>
      <c r="E161" s="6">
        <v>600821</v>
      </c>
    </row>
    <row r="162" spans="1:5" x14ac:dyDescent="0.2">
      <c r="A162">
        <v>2019</v>
      </c>
      <c r="B162" t="s">
        <v>7</v>
      </c>
      <c r="C162" s="6">
        <v>752393.2</v>
      </c>
      <c r="D162" s="6">
        <v>165514.48927021399</v>
      </c>
      <c r="E162" s="6">
        <v>584096</v>
      </c>
    </row>
    <row r="163" spans="1:5" x14ac:dyDescent="0.2">
      <c r="A163">
        <v>1997</v>
      </c>
      <c r="B163" t="s">
        <v>8</v>
      </c>
      <c r="C163" s="6">
        <v>38705.699999999997</v>
      </c>
      <c r="D163" s="6">
        <v>20063</v>
      </c>
      <c r="E163" s="6">
        <v>36264</v>
      </c>
    </row>
    <row r="164" spans="1:5" x14ac:dyDescent="0.2">
      <c r="A164">
        <v>1998</v>
      </c>
      <c r="B164" t="s">
        <v>8</v>
      </c>
      <c r="C164" s="6">
        <v>40446.300000000003</v>
      </c>
      <c r="D164" s="6">
        <v>20591</v>
      </c>
      <c r="E164" s="6">
        <v>38617</v>
      </c>
    </row>
    <row r="165" spans="1:5" x14ac:dyDescent="0.2">
      <c r="A165">
        <v>1999</v>
      </c>
      <c r="B165" t="s">
        <v>8</v>
      </c>
      <c r="C165" s="6">
        <v>41103.599999999999</v>
      </c>
      <c r="D165" s="6">
        <v>20407</v>
      </c>
      <c r="E165" s="6">
        <v>40431</v>
      </c>
    </row>
    <row r="166" spans="1:5" x14ac:dyDescent="0.2">
      <c r="A166">
        <v>2000</v>
      </c>
      <c r="B166" t="s">
        <v>8</v>
      </c>
      <c r="C166" s="6">
        <v>42734.1</v>
      </c>
      <c r="D166" s="6">
        <v>20897</v>
      </c>
      <c r="E166" s="6">
        <v>43063</v>
      </c>
    </row>
    <row r="167" spans="1:5" x14ac:dyDescent="0.2">
      <c r="A167">
        <v>2001</v>
      </c>
      <c r="B167" t="s">
        <v>8</v>
      </c>
      <c r="C167" s="6">
        <v>43301.5</v>
      </c>
      <c r="D167" s="6">
        <v>19642</v>
      </c>
      <c r="E167" s="6">
        <v>43555</v>
      </c>
    </row>
    <row r="168" spans="1:5" x14ac:dyDescent="0.2">
      <c r="A168">
        <v>2002</v>
      </c>
      <c r="B168" t="s">
        <v>8</v>
      </c>
      <c r="C168" s="6">
        <v>44031.4</v>
      </c>
      <c r="D168" s="6">
        <v>20437</v>
      </c>
      <c r="E168" s="6">
        <v>48664</v>
      </c>
    </row>
    <row r="169" spans="1:5" x14ac:dyDescent="0.2">
      <c r="A169">
        <v>2003</v>
      </c>
      <c r="B169" t="s">
        <v>8</v>
      </c>
      <c r="C169" s="6">
        <v>44494.6</v>
      </c>
      <c r="D169" s="6">
        <v>20686</v>
      </c>
      <c r="E169" s="6">
        <v>47431</v>
      </c>
    </row>
    <row r="170" spans="1:5" x14ac:dyDescent="0.2">
      <c r="A170">
        <v>2004</v>
      </c>
      <c r="B170" t="s">
        <v>8</v>
      </c>
      <c r="C170" s="6">
        <v>45727.8</v>
      </c>
      <c r="D170" s="6">
        <v>20891</v>
      </c>
      <c r="E170" s="6">
        <v>53009</v>
      </c>
    </row>
    <row r="171" spans="1:5" x14ac:dyDescent="0.2">
      <c r="A171">
        <v>2005</v>
      </c>
      <c r="B171" t="s">
        <v>8</v>
      </c>
      <c r="C171" s="6">
        <v>47127.8</v>
      </c>
      <c r="D171" s="6">
        <v>20531</v>
      </c>
      <c r="E171" s="6">
        <v>57631</v>
      </c>
    </row>
    <row r="172" spans="1:5" x14ac:dyDescent="0.2">
      <c r="A172">
        <v>2006</v>
      </c>
      <c r="B172" t="s">
        <v>8</v>
      </c>
      <c r="C172" s="6">
        <v>48918.3</v>
      </c>
      <c r="D172" s="6">
        <v>21075</v>
      </c>
      <c r="E172" s="6">
        <v>55627</v>
      </c>
    </row>
    <row r="173" spans="1:5" x14ac:dyDescent="0.2">
      <c r="A173">
        <v>2007</v>
      </c>
      <c r="B173" t="s">
        <v>8</v>
      </c>
      <c r="C173" s="6">
        <v>50017.3</v>
      </c>
      <c r="D173" s="6">
        <v>21260</v>
      </c>
      <c r="E173" s="6">
        <v>59949</v>
      </c>
    </row>
    <row r="174" spans="1:5" x14ac:dyDescent="0.2">
      <c r="A174">
        <v>2008</v>
      </c>
      <c r="B174" t="s">
        <v>8</v>
      </c>
      <c r="C174" s="6">
        <v>51668.800000000003</v>
      </c>
      <c r="D174" s="6">
        <v>21214</v>
      </c>
      <c r="E174" s="6">
        <v>62207</v>
      </c>
    </row>
    <row r="175" spans="1:5" x14ac:dyDescent="0.2">
      <c r="A175">
        <v>2009</v>
      </c>
      <c r="B175" t="s">
        <v>8</v>
      </c>
      <c r="C175" s="6">
        <v>51522.1</v>
      </c>
      <c r="D175" s="6">
        <v>19652</v>
      </c>
      <c r="E175" s="6">
        <v>57493</v>
      </c>
    </row>
    <row r="176" spans="1:5" x14ac:dyDescent="0.2">
      <c r="A176">
        <v>2010</v>
      </c>
      <c r="B176" t="s">
        <v>8</v>
      </c>
      <c r="C176" s="6">
        <v>52841.8</v>
      </c>
      <c r="D176" s="6">
        <v>19326</v>
      </c>
      <c r="E176" s="6">
        <v>54978</v>
      </c>
    </row>
    <row r="177" spans="1:5" x14ac:dyDescent="0.2">
      <c r="A177">
        <v>2011</v>
      </c>
      <c r="B177" t="s">
        <v>8</v>
      </c>
      <c r="C177" s="6">
        <v>54057.9</v>
      </c>
      <c r="D177" s="6">
        <v>19323</v>
      </c>
      <c r="E177" s="6">
        <v>57749</v>
      </c>
    </row>
    <row r="178" spans="1:5" x14ac:dyDescent="0.2">
      <c r="A178">
        <v>2012</v>
      </c>
      <c r="B178" t="s">
        <v>8</v>
      </c>
      <c r="C178" s="6">
        <v>55676.4</v>
      </c>
      <c r="D178" s="6">
        <v>20833</v>
      </c>
      <c r="E178" s="6">
        <v>67066</v>
      </c>
    </row>
    <row r="179" spans="1:5" x14ac:dyDescent="0.2">
      <c r="A179">
        <v>2013</v>
      </c>
      <c r="B179" t="s">
        <v>8</v>
      </c>
      <c r="C179" s="6">
        <v>57169.9</v>
      </c>
      <c r="D179" s="6">
        <v>21389</v>
      </c>
      <c r="E179" s="6">
        <v>64060</v>
      </c>
    </row>
    <row r="180" spans="1:5" x14ac:dyDescent="0.2">
      <c r="A180">
        <v>2014</v>
      </c>
      <c r="B180" t="s">
        <v>8</v>
      </c>
      <c r="C180" s="6">
        <v>58276.3</v>
      </c>
      <c r="D180" s="6">
        <v>21335</v>
      </c>
      <c r="E180" s="6">
        <v>59559</v>
      </c>
    </row>
    <row r="181" spans="1:5" x14ac:dyDescent="0.2">
      <c r="A181">
        <v>2015</v>
      </c>
      <c r="B181" t="s">
        <v>8</v>
      </c>
      <c r="C181" s="6">
        <v>59082.5</v>
      </c>
      <c r="D181" s="6">
        <v>21063</v>
      </c>
      <c r="E181" s="6">
        <v>62798</v>
      </c>
    </row>
    <row r="182" spans="1:5" x14ac:dyDescent="0.2">
      <c r="A182">
        <v>2016</v>
      </c>
      <c r="B182" t="s">
        <v>8</v>
      </c>
      <c r="C182" s="6">
        <v>59966.8</v>
      </c>
      <c r="D182" s="6">
        <v>21296</v>
      </c>
      <c r="E182" s="6">
        <v>67268</v>
      </c>
    </row>
    <row r="183" spans="1:5" x14ac:dyDescent="0.2">
      <c r="A183">
        <v>2017</v>
      </c>
      <c r="B183" t="s">
        <v>8</v>
      </c>
      <c r="C183" s="6">
        <v>61965.3</v>
      </c>
      <c r="D183" s="6">
        <v>21809</v>
      </c>
      <c r="E183" s="6">
        <v>66598</v>
      </c>
    </row>
    <row r="184" spans="1:5" x14ac:dyDescent="0.2">
      <c r="A184">
        <v>2018</v>
      </c>
      <c r="B184" t="s">
        <v>8</v>
      </c>
      <c r="C184" s="6">
        <v>63195.3</v>
      </c>
      <c r="D184" s="6">
        <v>22573</v>
      </c>
      <c r="E184" s="6">
        <v>61927</v>
      </c>
    </row>
    <row r="185" spans="1:5" x14ac:dyDescent="0.2">
      <c r="A185">
        <v>2019</v>
      </c>
      <c r="B185" t="s">
        <v>8</v>
      </c>
      <c r="C185" s="6">
        <v>63931.199999999997</v>
      </c>
      <c r="D185" s="6">
        <v>22264</v>
      </c>
      <c r="E185" s="6">
        <v>60986</v>
      </c>
    </row>
    <row r="186" spans="1:5" x14ac:dyDescent="0.2">
      <c r="A186">
        <v>1997</v>
      </c>
      <c r="B186" t="s">
        <v>9</v>
      </c>
      <c r="C186" s="6">
        <v>54554.6</v>
      </c>
      <c r="D186" s="6">
        <v>66231.521481424905</v>
      </c>
      <c r="E186" s="6">
        <v>97985</v>
      </c>
    </row>
    <row r="187" spans="1:5" x14ac:dyDescent="0.2">
      <c r="A187">
        <v>1998</v>
      </c>
      <c r="B187" t="s">
        <v>9</v>
      </c>
      <c r="C187" s="6">
        <v>56802.9</v>
      </c>
      <c r="D187" s="6">
        <v>65761.972899807995</v>
      </c>
      <c r="E187" s="6">
        <v>97229</v>
      </c>
    </row>
    <row r="188" spans="1:5" x14ac:dyDescent="0.2">
      <c r="A188">
        <v>1999</v>
      </c>
      <c r="B188" t="s">
        <v>9</v>
      </c>
      <c r="C188" s="6">
        <v>56889.8</v>
      </c>
      <c r="D188" s="6">
        <v>66568.568625034299</v>
      </c>
      <c r="E188" s="6">
        <v>92876</v>
      </c>
    </row>
    <row r="189" spans="1:5" x14ac:dyDescent="0.2">
      <c r="A189">
        <v>2000</v>
      </c>
      <c r="B189" t="s">
        <v>9</v>
      </c>
      <c r="C189" s="6">
        <v>58198.3</v>
      </c>
      <c r="D189" s="6">
        <v>68309.890668717198</v>
      </c>
      <c r="E189" s="6">
        <v>99928</v>
      </c>
    </row>
    <row r="190" spans="1:5" x14ac:dyDescent="0.2">
      <c r="A190">
        <v>2001</v>
      </c>
      <c r="B190" t="s">
        <v>9</v>
      </c>
      <c r="C190" s="6">
        <v>57580</v>
      </c>
      <c r="D190" s="6">
        <v>67715.319498907804</v>
      </c>
      <c r="E190" s="6">
        <v>94597</v>
      </c>
    </row>
    <row r="191" spans="1:5" x14ac:dyDescent="0.2">
      <c r="A191">
        <v>2002</v>
      </c>
      <c r="B191" t="s">
        <v>9</v>
      </c>
      <c r="C191" s="6">
        <v>57517.3</v>
      </c>
      <c r="D191" s="6">
        <v>68927.717622772499</v>
      </c>
      <c r="E191" s="6">
        <v>91704</v>
      </c>
    </row>
    <row r="192" spans="1:5" x14ac:dyDescent="0.2">
      <c r="A192">
        <v>2003</v>
      </c>
      <c r="B192" t="s">
        <v>9</v>
      </c>
      <c r="C192" s="6">
        <v>60001.8</v>
      </c>
      <c r="D192" s="6">
        <v>70831.832730789305</v>
      </c>
      <c r="E192" s="6">
        <v>96760</v>
      </c>
    </row>
    <row r="193" spans="1:5" x14ac:dyDescent="0.2">
      <c r="A193">
        <v>2004</v>
      </c>
      <c r="B193" t="s">
        <v>9</v>
      </c>
      <c r="C193" s="6">
        <v>62708.6</v>
      </c>
      <c r="D193" s="6">
        <v>72320.765965176499</v>
      </c>
      <c r="E193" s="6">
        <v>92018</v>
      </c>
    </row>
    <row r="194" spans="1:5" x14ac:dyDescent="0.2">
      <c r="A194">
        <v>2005</v>
      </c>
      <c r="B194" t="s">
        <v>9</v>
      </c>
      <c r="C194" s="6">
        <v>64170.3</v>
      </c>
      <c r="D194" s="6">
        <v>71308.822639366204</v>
      </c>
      <c r="E194" s="6">
        <v>104084</v>
      </c>
    </row>
    <row r="195" spans="1:5" x14ac:dyDescent="0.2">
      <c r="A195">
        <v>2006</v>
      </c>
      <c r="B195" t="s">
        <v>9</v>
      </c>
      <c r="C195" s="6">
        <v>63374.8</v>
      </c>
      <c r="D195" s="6">
        <v>70824.440833641798</v>
      </c>
      <c r="E195" s="6">
        <v>101847</v>
      </c>
    </row>
    <row r="196" spans="1:5" x14ac:dyDescent="0.2">
      <c r="A196">
        <v>2007</v>
      </c>
      <c r="B196" t="s">
        <v>9</v>
      </c>
      <c r="C196" s="6">
        <v>65908.5</v>
      </c>
      <c r="D196" s="6">
        <v>72940.189546291396</v>
      </c>
      <c r="E196" s="6">
        <v>108553</v>
      </c>
    </row>
    <row r="197" spans="1:5" x14ac:dyDescent="0.2">
      <c r="A197">
        <v>2008</v>
      </c>
      <c r="B197" t="s">
        <v>9</v>
      </c>
      <c r="C197" s="6">
        <v>69352.3</v>
      </c>
      <c r="D197" s="6">
        <v>73261.682923858898</v>
      </c>
      <c r="E197" s="6">
        <v>110294</v>
      </c>
    </row>
    <row r="198" spans="1:5" x14ac:dyDescent="0.2">
      <c r="A198">
        <v>2009</v>
      </c>
      <c r="B198" t="s">
        <v>9</v>
      </c>
      <c r="C198" s="6">
        <v>65649.2</v>
      </c>
      <c r="D198" s="6">
        <v>71713.220871943806</v>
      </c>
      <c r="E198" s="6">
        <v>103074</v>
      </c>
    </row>
    <row r="199" spans="1:5" x14ac:dyDescent="0.2">
      <c r="A199">
        <v>2010</v>
      </c>
      <c r="B199" t="s">
        <v>9</v>
      </c>
      <c r="C199" s="6">
        <v>68913.399999999994</v>
      </c>
      <c r="D199" s="6">
        <v>71070.825516603494</v>
      </c>
      <c r="E199" s="6">
        <v>114757</v>
      </c>
    </row>
    <row r="200" spans="1:5" x14ac:dyDescent="0.2">
      <c r="A200">
        <v>2011</v>
      </c>
      <c r="B200" t="s">
        <v>9</v>
      </c>
      <c r="C200" s="6">
        <v>72611.600000000006</v>
      </c>
      <c r="D200" s="6">
        <v>70751.4119323497</v>
      </c>
      <c r="E200" s="6">
        <v>127096</v>
      </c>
    </row>
    <row r="201" spans="1:5" x14ac:dyDescent="0.2">
      <c r="A201">
        <v>2012</v>
      </c>
      <c r="B201" t="s">
        <v>9</v>
      </c>
      <c r="C201" s="6">
        <v>73952.2</v>
      </c>
      <c r="D201" s="6">
        <v>73726.646520773706</v>
      </c>
      <c r="E201" s="6">
        <v>126609</v>
      </c>
    </row>
    <row r="202" spans="1:5" x14ac:dyDescent="0.2">
      <c r="A202">
        <v>2013</v>
      </c>
      <c r="B202" t="s">
        <v>9</v>
      </c>
      <c r="C202" s="6">
        <v>78708.5</v>
      </c>
      <c r="D202" s="6">
        <v>75351.3138682883</v>
      </c>
      <c r="E202" s="6">
        <v>132055</v>
      </c>
    </row>
    <row r="203" spans="1:5" x14ac:dyDescent="0.2">
      <c r="A203">
        <v>2014</v>
      </c>
      <c r="B203" t="s">
        <v>9</v>
      </c>
      <c r="C203" s="6">
        <v>80175.7</v>
      </c>
      <c r="D203" s="6">
        <v>77417.103139205705</v>
      </c>
      <c r="E203" s="6">
        <v>143653</v>
      </c>
    </row>
    <row r="204" spans="1:5" x14ac:dyDescent="0.2">
      <c r="A204">
        <v>2015</v>
      </c>
      <c r="B204" t="s">
        <v>9</v>
      </c>
      <c r="C204" s="6">
        <v>79574.2</v>
      </c>
      <c r="D204" s="6">
        <v>79107.745310850907</v>
      </c>
      <c r="E204" s="6">
        <v>149591</v>
      </c>
    </row>
    <row r="205" spans="1:5" x14ac:dyDescent="0.2">
      <c r="A205">
        <v>2016</v>
      </c>
      <c r="B205" t="s">
        <v>9</v>
      </c>
      <c r="C205" s="6">
        <v>79317.5</v>
      </c>
      <c r="D205" s="6">
        <v>76806.264880941395</v>
      </c>
      <c r="E205" s="6">
        <v>145042</v>
      </c>
    </row>
    <row r="206" spans="1:5" x14ac:dyDescent="0.2">
      <c r="A206">
        <v>2017</v>
      </c>
      <c r="B206" t="s">
        <v>9</v>
      </c>
      <c r="C206" s="6">
        <v>81121.100000000006</v>
      </c>
      <c r="D206" s="6">
        <v>79385.589490804297</v>
      </c>
      <c r="E206" s="6">
        <v>155356</v>
      </c>
    </row>
    <row r="207" spans="1:5" x14ac:dyDescent="0.2">
      <c r="A207">
        <v>2018</v>
      </c>
      <c r="B207" t="s">
        <v>9</v>
      </c>
      <c r="C207" s="6">
        <v>82387.5</v>
      </c>
      <c r="D207" s="6">
        <v>80443.767628229194</v>
      </c>
      <c r="E207" s="6">
        <v>161430</v>
      </c>
    </row>
    <row r="208" spans="1:5" x14ac:dyDescent="0.2">
      <c r="A208">
        <v>2019</v>
      </c>
      <c r="B208" t="s">
        <v>9</v>
      </c>
      <c r="C208" s="6">
        <v>81992.3</v>
      </c>
      <c r="D208" s="6">
        <v>78016.242137946596</v>
      </c>
      <c r="E208" s="6">
        <v>149179</v>
      </c>
    </row>
    <row r="209" spans="1:5" x14ac:dyDescent="0.2">
      <c r="A209">
        <v>1997</v>
      </c>
      <c r="B209" t="s">
        <v>10</v>
      </c>
      <c r="C209" s="6">
        <v>184307.7</v>
      </c>
      <c r="D209" s="6">
        <v>205584.24388096301</v>
      </c>
      <c r="E209" s="6">
        <v>457883</v>
      </c>
    </row>
    <row r="210" spans="1:5" x14ac:dyDescent="0.2">
      <c r="A210">
        <v>1998</v>
      </c>
      <c r="B210" t="s">
        <v>10</v>
      </c>
      <c r="C210" s="6">
        <v>193229.9</v>
      </c>
      <c r="D210" s="6">
        <v>206714.95768780599</v>
      </c>
      <c r="E210" s="6">
        <v>427440</v>
      </c>
    </row>
    <row r="211" spans="1:5" x14ac:dyDescent="0.2">
      <c r="A211">
        <v>1999</v>
      </c>
      <c r="B211" t="s">
        <v>10</v>
      </c>
      <c r="C211" s="6">
        <v>195998.8</v>
      </c>
      <c r="D211" s="6">
        <v>213920.66475700401</v>
      </c>
      <c r="E211" s="6">
        <v>432441</v>
      </c>
    </row>
    <row r="212" spans="1:5" x14ac:dyDescent="0.2">
      <c r="A212">
        <v>2000</v>
      </c>
      <c r="B212" t="s">
        <v>10</v>
      </c>
      <c r="C212" s="6">
        <v>207779.6</v>
      </c>
      <c r="D212" s="6">
        <v>222629.86234758099</v>
      </c>
      <c r="E212" s="6">
        <v>476077</v>
      </c>
    </row>
    <row r="213" spans="1:5" x14ac:dyDescent="0.2">
      <c r="A213">
        <v>2001</v>
      </c>
      <c r="B213" t="s">
        <v>10</v>
      </c>
      <c r="C213" s="6">
        <v>211558</v>
      </c>
      <c r="D213" s="6">
        <v>222386.14466650601</v>
      </c>
      <c r="E213" s="6">
        <v>435722</v>
      </c>
    </row>
    <row r="214" spans="1:5" x14ac:dyDescent="0.2">
      <c r="A214">
        <v>2002</v>
      </c>
      <c r="B214" t="s">
        <v>10</v>
      </c>
      <c r="C214" s="6">
        <v>216775.7</v>
      </c>
      <c r="D214" s="6">
        <v>224082.364944061</v>
      </c>
      <c r="E214" s="6">
        <v>461437</v>
      </c>
    </row>
    <row r="215" spans="1:5" x14ac:dyDescent="0.2">
      <c r="A215">
        <v>2003</v>
      </c>
      <c r="B215" t="s">
        <v>10</v>
      </c>
      <c r="C215" s="6">
        <v>224711.1</v>
      </c>
      <c r="D215" s="6">
        <v>232873.66734677099</v>
      </c>
      <c r="E215" s="6">
        <v>519377</v>
      </c>
    </row>
    <row r="216" spans="1:5" x14ac:dyDescent="0.2">
      <c r="A216">
        <v>2004</v>
      </c>
      <c r="B216" t="s">
        <v>10</v>
      </c>
      <c r="C216" s="6">
        <v>237664.3</v>
      </c>
      <c r="D216" s="6">
        <v>231975.398595832</v>
      </c>
      <c r="E216" s="6">
        <v>518951</v>
      </c>
    </row>
    <row r="217" spans="1:5" x14ac:dyDescent="0.2">
      <c r="A217">
        <v>2005</v>
      </c>
      <c r="B217" t="s">
        <v>10</v>
      </c>
      <c r="C217" s="6">
        <v>248615.4</v>
      </c>
      <c r="D217" s="6">
        <v>237093.20109078399</v>
      </c>
      <c r="E217" s="6">
        <v>537306</v>
      </c>
    </row>
    <row r="218" spans="1:5" x14ac:dyDescent="0.2">
      <c r="A218">
        <v>2006</v>
      </c>
      <c r="B218" t="s">
        <v>10</v>
      </c>
      <c r="C218" s="6">
        <v>264843.40000000002</v>
      </c>
      <c r="D218" s="6">
        <v>245057.16321957399</v>
      </c>
      <c r="E218" s="6">
        <v>563424</v>
      </c>
    </row>
    <row r="219" spans="1:5" x14ac:dyDescent="0.2">
      <c r="A219">
        <v>2007</v>
      </c>
      <c r="B219" t="s">
        <v>10</v>
      </c>
      <c r="C219" s="6">
        <v>269988.8</v>
      </c>
      <c r="D219" s="6">
        <v>253455.91542008001</v>
      </c>
      <c r="E219" s="6">
        <v>677738</v>
      </c>
    </row>
    <row r="220" spans="1:5" x14ac:dyDescent="0.2">
      <c r="A220">
        <v>2008</v>
      </c>
      <c r="B220" t="s">
        <v>10</v>
      </c>
      <c r="C220" s="6">
        <v>273513.8</v>
      </c>
      <c r="D220" s="6">
        <v>252055.65700021101</v>
      </c>
      <c r="E220" s="6">
        <v>678030</v>
      </c>
    </row>
    <row r="221" spans="1:5" x14ac:dyDescent="0.2">
      <c r="A221">
        <v>2009</v>
      </c>
      <c r="B221" t="s">
        <v>10</v>
      </c>
      <c r="C221" s="6">
        <v>258933.9</v>
      </c>
      <c r="D221" s="6">
        <v>245773.338560159</v>
      </c>
      <c r="E221" s="6">
        <v>698285</v>
      </c>
    </row>
    <row r="222" spans="1:5" x14ac:dyDescent="0.2">
      <c r="A222">
        <v>2010</v>
      </c>
      <c r="B222" t="s">
        <v>10</v>
      </c>
      <c r="C222" s="6">
        <v>272172</v>
      </c>
      <c r="D222" s="6">
        <v>254928.02071959199</v>
      </c>
      <c r="E222" s="6">
        <v>774584</v>
      </c>
    </row>
    <row r="223" spans="1:5" x14ac:dyDescent="0.2">
      <c r="A223">
        <v>2011</v>
      </c>
      <c r="B223" t="s">
        <v>10</v>
      </c>
      <c r="C223" s="6">
        <v>290513.8</v>
      </c>
      <c r="D223" s="6">
        <v>263729.44594593201</v>
      </c>
      <c r="E223" s="6">
        <v>940242</v>
      </c>
    </row>
    <row r="224" spans="1:5" x14ac:dyDescent="0.2">
      <c r="A224">
        <v>2012</v>
      </c>
      <c r="B224" t="s">
        <v>10</v>
      </c>
      <c r="C224" s="6">
        <v>302130.7</v>
      </c>
      <c r="D224" s="6">
        <v>273053.918450917</v>
      </c>
      <c r="E224" s="6">
        <v>991413</v>
      </c>
    </row>
    <row r="225" spans="1:5" x14ac:dyDescent="0.2">
      <c r="A225">
        <v>2013</v>
      </c>
      <c r="B225" t="s">
        <v>10</v>
      </c>
      <c r="C225" s="6">
        <v>319548.09999999998</v>
      </c>
      <c r="D225" s="6">
        <v>279362.86574112898</v>
      </c>
      <c r="E225" s="6">
        <v>1038212</v>
      </c>
    </row>
    <row r="226" spans="1:5" x14ac:dyDescent="0.2">
      <c r="A226">
        <v>2014</v>
      </c>
      <c r="B226" t="s">
        <v>10</v>
      </c>
      <c r="C226" s="6">
        <v>338262.6</v>
      </c>
      <c r="D226" s="6">
        <v>283184.40842625202</v>
      </c>
      <c r="E226" s="6">
        <v>1069368</v>
      </c>
    </row>
    <row r="227" spans="1:5" x14ac:dyDescent="0.2">
      <c r="A227">
        <v>2015</v>
      </c>
      <c r="B227" t="s">
        <v>10</v>
      </c>
      <c r="C227" s="6">
        <v>326476.7</v>
      </c>
      <c r="D227" s="6">
        <v>284286.100153982</v>
      </c>
      <c r="E227" s="6">
        <v>1086365</v>
      </c>
    </row>
    <row r="228" spans="1:5" x14ac:dyDescent="0.2">
      <c r="A228">
        <v>2016</v>
      </c>
      <c r="B228" t="s">
        <v>10</v>
      </c>
      <c r="C228" s="6">
        <v>314599.40000000002</v>
      </c>
      <c r="D228" s="6">
        <v>268163.46570250002</v>
      </c>
      <c r="E228" s="6">
        <v>1005126</v>
      </c>
    </row>
    <row r="229" spans="1:5" x14ac:dyDescent="0.2">
      <c r="A229">
        <v>2017</v>
      </c>
      <c r="B229" t="s">
        <v>10</v>
      </c>
      <c r="C229" s="6">
        <v>327996.2</v>
      </c>
      <c r="D229" s="6">
        <v>275817.193021574</v>
      </c>
      <c r="E229" s="6">
        <v>1087407</v>
      </c>
    </row>
    <row r="230" spans="1:5" x14ac:dyDescent="0.2">
      <c r="A230">
        <v>2018</v>
      </c>
      <c r="B230" t="s">
        <v>10</v>
      </c>
      <c r="C230" s="6">
        <v>334580</v>
      </c>
      <c r="D230" s="6">
        <v>276503.98314620397</v>
      </c>
      <c r="E230" s="6">
        <v>1206426</v>
      </c>
    </row>
    <row r="231" spans="1:5" x14ac:dyDescent="0.2">
      <c r="A231">
        <v>2019</v>
      </c>
      <c r="B231" t="s">
        <v>10</v>
      </c>
      <c r="C231" s="6">
        <v>335068.3</v>
      </c>
      <c r="D231" s="6">
        <v>278799.41491544002</v>
      </c>
      <c r="E231" s="6">
        <v>1246623</v>
      </c>
    </row>
    <row r="232" spans="1:5" x14ac:dyDescent="0.2">
      <c r="A232">
        <v>1997</v>
      </c>
      <c r="B232" t="s">
        <v>11</v>
      </c>
      <c r="C232" s="6">
        <v>141853.29999999999</v>
      </c>
      <c r="D232" s="6">
        <v>60727.559684535903</v>
      </c>
      <c r="E232" s="6">
        <v>250596</v>
      </c>
    </row>
    <row r="233" spans="1:5" x14ac:dyDescent="0.2">
      <c r="A233">
        <v>1998</v>
      </c>
      <c r="B233" t="s">
        <v>11</v>
      </c>
      <c r="C233" s="6">
        <v>143234.1</v>
      </c>
      <c r="D233" s="6">
        <v>61832.859883226301</v>
      </c>
      <c r="E233" s="6">
        <v>247464</v>
      </c>
    </row>
    <row r="234" spans="1:5" x14ac:dyDescent="0.2">
      <c r="A234">
        <v>1999</v>
      </c>
      <c r="B234" t="s">
        <v>11</v>
      </c>
      <c r="C234" s="6">
        <v>147986.4</v>
      </c>
      <c r="D234" s="6">
        <v>63507.3876113476</v>
      </c>
      <c r="E234" s="6">
        <v>260805</v>
      </c>
    </row>
    <row r="235" spans="1:5" x14ac:dyDescent="0.2">
      <c r="A235">
        <v>2000</v>
      </c>
      <c r="B235" t="s">
        <v>11</v>
      </c>
      <c r="C235" s="6">
        <v>154965.9</v>
      </c>
      <c r="D235" s="6">
        <v>64570.440940698601</v>
      </c>
      <c r="E235" s="6">
        <v>273096</v>
      </c>
    </row>
    <row r="236" spans="1:5" x14ac:dyDescent="0.2">
      <c r="A236">
        <v>2001</v>
      </c>
      <c r="B236" t="s">
        <v>11</v>
      </c>
      <c r="C236" s="6">
        <v>155830.5</v>
      </c>
      <c r="D236" s="6">
        <v>65838.120482878701</v>
      </c>
      <c r="E236" s="6">
        <v>263906</v>
      </c>
    </row>
    <row r="237" spans="1:5" x14ac:dyDescent="0.2">
      <c r="A237">
        <v>2002</v>
      </c>
      <c r="B237" t="s">
        <v>11</v>
      </c>
      <c r="C237" s="6">
        <v>161762.20000000001</v>
      </c>
      <c r="D237" s="6">
        <v>62777.275007268399</v>
      </c>
      <c r="E237" s="6">
        <v>245918</v>
      </c>
    </row>
    <row r="238" spans="1:5" x14ac:dyDescent="0.2">
      <c r="A238">
        <v>2003</v>
      </c>
      <c r="B238" t="s">
        <v>11</v>
      </c>
      <c r="C238" s="6">
        <v>165799.6</v>
      </c>
      <c r="D238" s="6">
        <v>63025.043610385103</v>
      </c>
      <c r="E238" s="6">
        <v>248770</v>
      </c>
    </row>
    <row r="239" spans="1:5" x14ac:dyDescent="0.2">
      <c r="A239">
        <v>2004</v>
      </c>
      <c r="B239" t="s">
        <v>11</v>
      </c>
      <c r="C239" s="6">
        <v>172580.4</v>
      </c>
      <c r="D239" s="6">
        <v>65236.145942474803</v>
      </c>
      <c r="E239" s="6">
        <v>253641</v>
      </c>
    </row>
    <row r="240" spans="1:5" x14ac:dyDescent="0.2">
      <c r="A240">
        <v>2005</v>
      </c>
      <c r="B240" t="s">
        <v>11</v>
      </c>
      <c r="C240" s="6">
        <v>180855</v>
      </c>
      <c r="D240" s="6">
        <v>63559.356861972999</v>
      </c>
      <c r="E240" s="6">
        <v>257993</v>
      </c>
    </row>
    <row r="241" spans="1:5" x14ac:dyDescent="0.2">
      <c r="A241">
        <v>2006</v>
      </c>
      <c r="B241" t="s">
        <v>11</v>
      </c>
      <c r="C241" s="6">
        <v>189185.8</v>
      </c>
      <c r="D241" s="6">
        <v>62064.302375478299</v>
      </c>
      <c r="E241" s="6">
        <v>229766</v>
      </c>
    </row>
    <row r="242" spans="1:5" x14ac:dyDescent="0.2">
      <c r="A242">
        <v>2007</v>
      </c>
      <c r="B242" t="s">
        <v>11</v>
      </c>
      <c r="C242" s="6">
        <v>194682.7</v>
      </c>
      <c r="D242" s="6">
        <v>62658.8818853552</v>
      </c>
      <c r="E242" s="6">
        <v>229743</v>
      </c>
    </row>
    <row r="243" spans="1:5" x14ac:dyDescent="0.2">
      <c r="A243">
        <v>2008</v>
      </c>
      <c r="B243" t="s">
        <v>11</v>
      </c>
      <c r="C243" s="6">
        <v>195789.1</v>
      </c>
      <c r="D243" s="6">
        <v>63081.9167887023</v>
      </c>
      <c r="E243" s="6">
        <v>214827</v>
      </c>
    </row>
    <row r="244" spans="1:5" x14ac:dyDescent="0.2">
      <c r="A244">
        <v>2009</v>
      </c>
      <c r="B244" t="s">
        <v>11</v>
      </c>
      <c r="C244" s="6">
        <v>190709.2</v>
      </c>
      <c r="D244" s="6">
        <v>59620.159945766602</v>
      </c>
      <c r="E244" s="6">
        <v>192562</v>
      </c>
    </row>
    <row r="245" spans="1:5" x14ac:dyDescent="0.2">
      <c r="A245">
        <v>2010</v>
      </c>
      <c r="B245" t="s">
        <v>11</v>
      </c>
      <c r="C245" s="6">
        <v>195819.3</v>
      </c>
      <c r="D245" s="6">
        <v>59275.963155806297</v>
      </c>
      <c r="E245" s="6">
        <v>196583</v>
      </c>
    </row>
    <row r="246" spans="1:5" x14ac:dyDescent="0.2">
      <c r="A246">
        <v>2011</v>
      </c>
      <c r="B246" t="s">
        <v>11</v>
      </c>
      <c r="C246" s="6">
        <v>201413</v>
      </c>
      <c r="D246" s="6">
        <v>59455.1483417442</v>
      </c>
      <c r="E246" s="6">
        <v>195148</v>
      </c>
    </row>
    <row r="247" spans="1:5" x14ac:dyDescent="0.2">
      <c r="A247">
        <v>2012</v>
      </c>
      <c r="B247" t="s">
        <v>11</v>
      </c>
      <c r="C247" s="6">
        <v>206590.7</v>
      </c>
      <c r="D247" s="6">
        <v>59553.957466065702</v>
      </c>
      <c r="E247" s="6">
        <v>214438</v>
      </c>
    </row>
    <row r="248" spans="1:5" x14ac:dyDescent="0.2">
      <c r="A248">
        <v>2013</v>
      </c>
      <c r="B248" t="s">
        <v>11</v>
      </c>
      <c r="C248" s="6">
        <v>211555.3</v>
      </c>
      <c r="D248" s="6">
        <v>60644.214309217597</v>
      </c>
      <c r="E248" s="6">
        <v>214041</v>
      </c>
    </row>
    <row r="249" spans="1:5" x14ac:dyDescent="0.2">
      <c r="A249">
        <v>2014</v>
      </c>
      <c r="B249" t="s">
        <v>11</v>
      </c>
      <c r="C249" s="6">
        <v>219060.9</v>
      </c>
      <c r="D249" s="6">
        <v>60200.824080568898</v>
      </c>
      <c r="E249" s="6">
        <v>211079</v>
      </c>
    </row>
    <row r="250" spans="1:5" x14ac:dyDescent="0.2">
      <c r="A250">
        <v>2015</v>
      </c>
      <c r="B250" t="s">
        <v>11</v>
      </c>
      <c r="C250" s="6">
        <v>224153.4</v>
      </c>
      <c r="D250" s="6">
        <v>60047.8966147596</v>
      </c>
      <c r="E250" s="6">
        <v>218038</v>
      </c>
    </row>
    <row r="251" spans="1:5" x14ac:dyDescent="0.2">
      <c r="A251">
        <v>2016</v>
      </c>
      <c r="B251" t="s">
        <v>11</v>
      </c>
      <c r="C251" s="6">
        <v>230763.5</v>
      </c>
      <c r="D251" s="6">
        <v>62431.495287796897</v>
      </c>
      <c r="E251" s="6">
        <v>247887</v>
      </c>
    </row>
    <row r="252" spans="1:5" x14ac:dyDescent="0.2">
      <c r="A252">
        <v>2017</v>
      </c>
      <c r="B252" t="s">
        <v>11</v>
      </c>
      <c r="C252" s="6">
        <v>239205.8</v>
      </c>
      <c r="D252" s="6">
        <v>63408.627324542598</v>
      </c>
      <c r="E252" s="6">
        <v>258808</v>
      </c>
    </row>
    <row r="253" spans="1:5" x14ac:dyDescent="0.2">
      <c r="A253">
        <v>2018</v>
      </c>
      <c r="B253" t="s">
        <v>11</v>
      </c>
      <c r="C253" s="6">
        <v>248162.8</v>
      </c>
      <c r="D253" s="6">
        <v>65755.794812725304</v>
      </c>
      <c r="E253" s="6">
        <v>270207</v>
      </c>
    </row>
    <row r="254" spans="1:5" x14ac:dyDescent="0.2">
      <c r="A254">
        <v>2019</v>
      </c>
      <c r="B254" t="s">
        <v>11</v>
      </c>
      <c r="C254" s="6">
        <v>255172.3</v>
      </c>
      <c r="D254" s="6">
        <v>65027.878406201002</v>
      </c>
      <c r="E254" s="6">
        <v>260404</v>
      </c>
    </row>
    <row r="255" spans="1:5" x14ac:dyDescent="0.2">
      <c r="A255">
        <v>1997</v>
      </c>
      <c r="B255" t="s">
        <v>12</v>
      </c>
      <c r="C255" s="6">
        <v>1559.7</v>
      </c>
      <c r="D255" s="6">
        <v>549.85305950434997</v>
      </c>
      <c r="E255" s="6"/>
    </row>
    <row r="256" spans="1:5" x14ac:dyDescent="0.2">
      <c r="A256">
        <v>1998</v>
      </c>
      <c r="B256" t="s">
        <v>12</v>
      </c>
      <c r="C256" s="6">
        <v>1486.8</v>
      </c>
      <c r="D256" s="6">
        <v>502.03182712894198</v>
      </c>
      <c r="E256" s="6"/>
    </row>
    <row r="257" spans="1:5" x14ac:dyDescent="0.2">
      <c r="A257">
        <v>1999</v>
      </c>
      <c r="B257" t="s">
        <v>12</v>
      </c>
      <c r="C257" s="6">
        <v>1483.6</v>
      </c>
      <c r="D257" s="6">
        <v>593.43678304128503</v>
      </c>
      <c r="E257" s="6">
        <v>535</v>
      </c>
    </row>
    <row r="258" spans="1:5" x14ac:dyDescent="0.2">
      <c r="A258">
        <v>2000</v>
      </c>
      <c r="B258" t="s">
        <v>12</v>
      </c>
      <c r="C258" s="6">
        <v>1536</v>
      </c>
      <c r="D258" s="6">
        <v>535.38356392133699</v>
      </c>
      <c r="E258" s="6">
        <v>464</v>
      </c>
    </row>
    <row r="259" spans="1:5" x14ac:dyDescent="0.2">
      <c r="A259">
        <v>2001</v>
      </c>
      <c r="B259" t="s">
        <v>12</v>
      </c>
      <c r="C259" s="6">
        <v>1599.9</v>
      </c>
      <c r="D259" s="6">
        <v>531.23936070857701</v>
      </c>
      <c r="E259" s="6">
        <v>438</v>
      </c>
    </row>
    <row r="260" spans="1:5" x14ac:dyDescent="0.2">
      <c r="A260">
        <v>2002</v>
      </c>
      <c r="B260" t="s">
        <v>12</v>
      </c>
      <c r="C260" s="6">
        <v>1585.7</v>
      </c>
      <c r="D260" s="6">
        <v>522.05689219567398</v>
      </c>
      <c r="E260" s="6">
        <v>421</v>
      </c>
    </row>
    <row r="261" spans="1:5" x14ac:dyDescent="0.2">
      <c r="A261">
        <v>2003</v>
      </c>
      <c r="B261" t="s">
        <v>12</v>
      </c>
      <c r="C261" s="6">
        <v>1571.7</v>
      </c>
      <c r="D261" s="6">
        <v>516.77686172302901</v>
      </c>
      <c r="E261" s="6">
        <v>473</v>
      </c>
    </row>
    <row r="262" spans="1:5" x14ac:dyDescent="0.2">
      <c r="A262">
        <v>2004</v>
      </c>
      <c r="B262" t="s">
        <v>12</v>
      </c>
      <c r="C262" s="6">
        <v>1648.7</v>
      </c>
      <c r="D262" s="6">
        <v>503.67578321724199</v>
      </c>
      <c r="E262" s="6">
        <v>613</v>
      </c>
    </row>
    <row r="263" spans="1:5" x14ac:dyDescent="0.2">
      <c r="A263">
        <v>2005</v>
      </c>
      <c r="B263" t="s">
        <v>12</v>
      </c>
      <c r="C263" s="6">
        <v>1685.6</v>
      </c>
      <c r="D263" s="6">
        <v>568.98824145531296</v>
      </c>
      <c r="E263" s="6">
        <v>436</v>
      </c>
    </row>
    <row r="264" spans="1:5" x14ac:dyDescent="0.2">
      <c r="A264">
        <v>2006</v>
      </c>
      <c r="B264" t="s">
        <v>12</v>
      </c>
      <c r="C264" s="6">
        <v>1764</v>
      </c>
      <c r="D264" s="6">
        <v>608.94622882354997</v>
      </c>
      <c r="E264" s="6">
        <v>546</v>
      </c>
    </row>
    <row r="265" spans="1:5" x14ac:dyDescent="0.2">
      <c r="A265">
        <v>2007</v>
      </c>
      <c r="B265" t="s">
        <v>12</v>
      </c>
      <c r="C265" s="6">
        <v>1853.8</v>
      </c>
      <c r="D265" s="6">
        <v>628.02360155021495</v>
      </c>
      <c r="E265" s="6">
        <v>455</v>
      </c>
    </row>
    <row r="266" spans="1:5" x14ac:dyDescent="0.2">
      <c r="A266">
        <v>2008</v>
      </c>
      <c r="B266" t="s">
        <v>12</v>
      </c>
      <c r="C266" s="6">
        <v>2033</v>
      </c>
      <c r="D266" s="6">
        <v>622.09092263114496</v>
      </c>
      <c r="E266" s="6">
        <v>796</v>
      </c>
    </row>
    <row r="267" spans="1:5" x14ac:dyDescent="0.2">
      <c r="A267">
        <v>2009</v>
      </c>
      <c r="B267" t="s">
        <v>12</v>
      </c>
      <c r="C267" s="6">
        <v>2159.6</v>
      </c>
      <c r="D267" s="6">
        <v>580.280899026567</v>
      </c>
      <c r="E267" s="6">
        <v>1110</v>
      </c>
    </row>
    <row r="268" spans="1:5" x14ac:dyDescent="0.2">
      <c r="A268">
        <v>2010</v>
      </c>
      <c r="B268" t="s">
        <v>12</v>
      </c>
      <c r="C268" s="6">
        <v>2253.5</v>
      </c>
      <c r="D268" s="6">
        <v>647.988540319962</v>
      </c>
      <c r="E268" s="6">
        <v>1343</v>
      </c>
    </row>
    <row r="269" spans="1:5" x14ac:dyDescent="0.2">
      <c r="A269">
        <v>2011</v>
      </c>
      <c r="B269" t="s">
        <v>12</v>
      </c>
      <c r="C269" s="6">
        <v>2363.6</v>
      </c>
      <c r="D269" s="6">
        <v>685.54160640979205</v>
      </c>
      <c r="E269" s="6">
        <v>1775</v>
      </c>
    </row>
    <row r="270" spans="1:5" x14ac:dyDescent="0.2">
      <c r="A270">
        <v>2012</v>
      </c>
      <c r="B270" t="s">
        <v>12</v>
      </c>
      <c r="C270" s="6">
        <v>2457.6</v>
      </c>
      <c r="D270" s="6">
        <v>678.770696178192</v>
      </c>
      <c r="E270" s="6">
        <v>2215</v>
      </c>
    </row>
    <row r="271" spans="1:5" x14ac:dyDescent="0.2">
      <c r="A271">
        <v>2013</v>
      </c>
      <c r="B271" t="s">
        <v>12</v>
      </c>
      <c r="C271" s="6">
        <v>2494.6</v>
      </c>
      <c r="D271" s="6">
        <v>601.21023566052304</v>
      </c>
      <c r="E271" s="6">
        <v>2103</v>
      </c>
    </row>
    <row r="272" spans="1:5" x14ac:dyDescent="0.2">
      <c r="A272">
        <v>2014</v>
      </c>
      <c r="B272" t="s">
        <v>12</v>
      </c>
      <c r="C272" s="6">
        <v>2510.9</v>
      </c>
      <c r="D272" s="6">
        <v>500.83906119785098</v>
      </c>
      <c r="E272" s="6">
        <v>1543</v>
      </c>
    </row>
    <row r="273" spans="1:5" x14ac:dyDescent="0.2">
      <c r="A273">
        <v>2015</v>
      </c>
      <c r="B273" t="s">
        <v>12</v>
      </c>
      <c r="C273" s="6">
        <v>2320.1999999999998</v>
      </c>
      <c r="D273" s="6">
        <v>530.08319008567696</v>
      </c>
      <c r="E273" s="6">
        <v>1587</v>
      </c>
    </row>
    <row r="274" spans="1:5" x14ac:dyDescent="0.2">
      <c r="A274">
        <v>2016</v>
      </c>
      <c r="B274" t="s">
        <v>12</v>
      </c>
      <c r="C274" s="6">
        <v>2487.6</v>
      </c>
      <c r="D274" s="6">
        <v>528.48455100908598</v>
      </c>
      <c r="E274" s="6">
        <v>1576</v>
      </c>
    </row>
    <row r="275" spans="1:5" x14ac:dyDescent="0.2">
      <c r="A275">
        <v>2017</v>
      </c>
      <c r="B275" t="s">
        <v>12</v>
      </c>
      <c r="C275" s="6">
        <v>2536.9</v>
      </c>
      <c r="D275" s="6">
        <v>564.45113424015301</v>
      </c>
      <c r="E275" s="6">
        <v>2001</v>
      </c>
    </row>
    <row r="276" spans="1:5" x14ac:dyDescent="0.2">
      <c r="A276">
        <v>2018</v>
      </c>
      <c r="B276" t="s">
        <v>12</v>
      </c>
      <c r="C276" s="6">
        <v>2606.5</v>
      </c>
      <c r="D276" s="6">
        <v>645.00803604774796</v>
      </c>
      <c r="E276" s="6">
        <v>2505</v>
      </c>
    </row>
    <row r="277" spans="1:5" x14ac:dyDescent="0.2">
      <c r="A277">
        <v>2019</v>
      </c>
      <c r="B277" t="s">
        <v>12</v>
      </c>
      <c r="C277" s="6">
        <v>2572.5</v>
      </c>
      <c r="D277" s="6">
        <v>691.936967567274</v>
      </c>
      <c r="E277" s="6">
        <v>2779</v>
      </c>
    </row>
    <row r="278" spans="1:5" x14ac:dyDescent="0.2">
      <c r="A278">
        <v>1997</v>
      </c>
      <c r="B278" t="s">
        <v>13</v>
      </c>
      <c r="C278" s="6">
        <v>3921.5</v>
      </c>
      <c r="D278" s="6">
        <v>1933.90756492177</v>
      </c>
      <c r="E278" s="6"/>
    </row>
    <row r="279" spans="1:5" x14ac:dyDescent="0.2">
      <c r="A279">
        <v>1998</v>
      </c>
      <c r="B279" t="s">
        <v>13</v>
      </c>
      <c r="C279" s="6">
        <v>3996.2</v>
      </c>
      <c r="D279" s="6">
        <v>1755.9516024863799</v>
      </c>
      <c r="E279" s="6"/>
    </row>
    <row r="280" spans="1:5" x14ac:dyDescent="0.2">
      <c r="A280">
        <v>1999</v>
      </c>
      <c r="B280" t="s">
        <v>13</v>
      </c>
      <c r="C280" s="6">
        <v>3257</v>
      </c>
      <c r="D280" s="6"/>
      <c r="E280" s="6">
        <v>5434</v>
      </c>
    </row>
    <row r="281" spans="1:5" x14ac:dyDescent="0.2">
      <c r="A281">
        <v>2000</v>
      </c>
      <c r="B281" t="s">
        <v>13</v>
      </c>
      <c r="C281" s="6">
        <v>3483.8</v>
      </c>
      <c r="D281" s="6"/>
      <c r="E281" s="6">
        <v>5408</v>
      </c>
    </row>
    <row r="282" spans="1:5" x14ac:dyDescent="0.2">
      <c r="A282">
        <v>2001</v>
      </c>
      <c r="B282" t="s">
        <v>13</v>
      </c>
      <c r="C282" s="6">
        <v>4212.3999999999996</v>
      </c>
      <c r="D282" s="6"/>
      <c r="E282" s="6">
        <v>7171</v>
      </c>
    </row>
    <row r="283" spans="1:5" x14ac:dyDescent="0.2">
      <c r="A283">
        <v>2002</v>
      </c>
      <c r="B283" t="s">
        <v>13</v>
      </c>
      <c r="C283" s="6">
        <v>4514.3999999999996</v>
      </c>
      <c r="D283" s="6"/>
      <c r="E283" s="6">
        <v>5786</v>
      </c>
    </row>
    <row r="284" spans="1:5" x14ac:dyDescent="0.2">
      <c r="A284">
        <v>2003</v>
      </c>
      <c r="B284" t="s">
        <v>13</v>
      </c>
      <c r="C284" s="6">
        <v>5122.8</v>
      </c>
      <c r="D284" s="6"/>
      <c r="E284" s="6">
        <v>4937</v>
      </c>
    </row>
    <row r="285" spans="1:5" x14ac:dyDescent="0.2">
      <c r="A285">
        <v>2004</v>
      </c>
      <c r="B285" t="s">
        <v>13</v>
      </c>
      <c r="C285" s="6">
        <v>5249.3</v>
      </c>
      <c r="D285" s="6"/>
      <c r="E285" s="6">
        <v>4104</v>
      </c>
    </row>
    <row r="286" spans="1:5" x14ac:dyDescent="0.2">
      <c r="A286">
        <v>2005</v>
      </c>
      <c r="B286" t="s">
        <v>13</v>
      </c>
      <c r="C286" s="6">
        <v>5180.1000000000004</v>
      </c>
      <c r="D286" s="6"/>
      <c r="E286" s="6">
        <v>3362</v>
      </c>
    </row>
    <row r="287" spans="1:5" x14ac:dyDescent="0.2">
      <c r="A287">
        <v>2006</v>
      </c>
      <c r="B287" t="s">
        <v>13</v>
      </c>
      <c r="C287" s="6">
        <v>5199.3999999999996</v>
      </c>
      <c r="D287" s="6"/>
      <c r="E287" s="6">
        <v>3489</v>
      </c>
    </row>
    <row r="288" spans="1:5" x14ac:dyDescent="0.2">
      <c r="A288">
        <v>2007</v>
      </c>
      <c r="B288" t="s">
        <v>13</v>
      </c>
      <c r="C288" s="6">
        <v>5655.2</v>
      </c>
      <c r="D288" s="6"/>
      <c r="E288" s="6">
        <v>1993</v>
      </c>
    </row>
    <row r="289" spans="1:5" x14ac:dyDescent="0.2">
      <c r="A289">
        <v>2008</v>
      </c>
      <c r="B289" t="s">
        <v>13</v>
      </c>
      <c r="C289" s="6">
        <v>5113.6000000000004</v>
      </c>
      <c r="D289" s="6"/>
      <c r="E289" s="6">
        <v>929</v>
      </c>
    </row>
    <row r="290" spans="1:5" x14ac:dyDescent="0.2">
      <c r="A290">
        <v>2009</v>
      </c>
      <c r="B290" t="s">
        <v>13</v>
      </c>
      <c r="C290" s="6">
        <v>4581.2</v>
      </c>
      <c r="D290" s="6"/>
      <c r="E290" s="6">
        <v>3328</v>
      </c>
    </row>
    <row r="291" spans="1:5" x14ac:dyDescent="0.2">
      <c r="A291">
        <v>2010</v>
      </c>
      <c r="B291" t="s">
        <v>13</v>
      </c>
      <c r="C291" s="6">
        <v>4707</v>
      </c>
      <c r="D291" s="6"/>
      <c r="E291" s="6">
        <v>2778</v>
      </c>
    </row>
    <row r="292" spans="1:5" x14ac:dyDescent="0.2">
      <c r="A292">
        <v>2011</v>
      </c>
      <c r="B292" t="s">
        <v>13</v>
      </c>
      <c r="C292" s="6">
        <v>4273.8999999999996</v>
      </c>
      <c r="D292" s="6"/>
      <c r="E292" s="6">
        <v>1962</v>
      </c>
    </row>
    <row r="293" spans="1:5" x14ac:dyDescent="0.2">
      <c r="A293">
        <v>2012</v>
      </c>
      <c r="B293" t="s">
        <v>13</v>
      </c>
      <c r="C293" s="6">
        <v>4249.8999999999996</v>
      </c>
      <c r="D293" s="6"/>
      <c r="E293" s="6">
        <v>2515</v>
      </c>
    </row>
    <row r="294" spans="1:5" x14ac:dyDescent="0.2">
      <c r="A294">
        <v>2013</v>
      </c>
      <c r="B294" t="s">
        <v>13</v>
      </c>
      <c r="C294" s="6">
        <v>4367.3</v>
      </c>
      <c r="D294" s="6"/>
      <c r="E294" s="6">
        <v>4745</v>
      </c>
    </row>
    <row r="295" spans="1:5" x14ac:dyDescent="0.2">
      <c r="A295">
        <v>2014</v>
      </c>
      <c r="B295" t="s">
        <v>13</v>
      </c>
      <c r="C295" s="6">
        <v>4574.6000000000004</v>
      </c>
      <c r="D295" s="6"/>
      <c r="E295" s="6">
        <v>3989</v>
      </c>
    </row>
    <row r="296" spans="1:5" x14ac:dyDescent="0.2">
      <c r="A296">
        <v>2015</v>
      </c>
      <c r="B296" t="s">
        <v>13</v>
      </c>
      <c r="C296" s="6">
        <v>4621.3</v>
      </c>
      <c r="D296" s="6"/>
      <c r="E296" s="6">
        <v>3282</v>
      </c>
    </row>
    <row r="297" spans="1:5" x14ac:dyDescent="0.2">
      <c r="A297">
        <v>2016</v>
      </c>
      <c r="B297" t="s">
        <v>13</v>
      </c>
      <c r="C297" s="6">
        <v>4570.3</v>
      </c>
      <c r="D297" s="6"/>
      <c r="E297" s="6">
        <v>2595</v>
      </c>
    </row>
    <row r="298" spans="1:5" x14ac:dyDescent="0.2">
      <c r="A298">
        <v>2017</v>
      </c>
      <c r="B298" t="s">
        <v>13</v>
      </c>
      <c r="C298" s="6">
        <v>4736.6000000000004</v>
      </c>
      <c r="D298" s="6"/>
      <c r="E298" s="6">
        <v>1902</v>
      </c>
    </row>
    <row r="299" spans="1:5" x14ac:dyDescent="0.2">
      <c r="A299">
        <v>2018</v>
      </c>
      <c r="B299" t="s">
        <v>13</v>
      </c>
      <c r="C299" s="6">
        <v>4800.5</v>
      </c>
      <c r="D299" s="6"/>
      <c r="E299" s="6">
        <v>2525</v>
      </c>
    </row>
    <row r="300" spans="1:5" x14ac:dyDescent="0.2">
      <c r="A300">
        <v>2019</v>
      </c>
      <c r="B300" t="s">
        <v>13</v>
      </c>
      <c r="C300" s="6">
        <v>4601.5</v>
      </c>
      <c r="D300" s="6"/>
      <c r="E300" s="6">
        <v>2557</v>
      </c>
    </row>
    <row r="301" spans="1:5" x14ac:dyDescent="0.2">
      <c r="A301">
        <v>1997</v>
      </c>
      <c r="B301" t="s">
        <v>14</v>
      </c>
      <c r="C301" s="6">
        <v>0</v>
      </c>
      <c r="D301" s="6"/>
      <c r="E301" s="6"/>
    </row>
    <row r="302" spans="1:5" x14ac:dyDescent="0.2">
      <c r="A302">
        <v>1998</v>
      </c>
      <c r="B302" t="s">
        <v>14</v>
      </c>
      <c r="C302" s="6">
        <v>0</v>
      </c>
      <c r="D302" s="6"/>
      <c r="E302" s="6"/>
    </row>
    <row r="303" spans="1:5" x14ac:dyDescent="0.2">
      <c r="A303">
        <v>1999</v>
      </c>
      <c r="B303" t="s">
        <v>14</v>
      </c>
      <c r="C303" s="6">
        <v>1229.9000000000001</v>
      </c>
      <c r="D303" s="6"/>
      <c r="E303" s="6">
        <v>35</v>
      </c>
    </row>
    <row r="304" spans="1:5" x14ac:dyDescent="0.2">
      <c r="A304">
        <v>2000</v>
      </c>
      <c r="B304" t="s">
        <v>14</v>
      </c>
      <c r="C304" s="6">
        <v>1280.3</v>
      </c>
      <c r="D304" s="6"/>
      <c r="E304" s="6">
        <v>1444</v>
      </c>
    </row>
    <row r="305" spans="1:5" x14ac:dyDescent="0.2">
      <c r="A305">
        <v>2001</v>
      </c>
      <c r="B305" t="s">
        <v>14</v>
      </c>
      <c r="C305" s="6">
        <v>1361.4</v>
      </c>
      <c r="D305" s="6"/>
      <c r="E305" s="6">
        <v>2839</v>
      </c>
    </row>
    <row r="306" spans="1:5" x14ac:dyDescent="0.2">
      <c r="A306">
        <v>2002</v>
      </c>
      <c r="B306" t="s">
        <v>14</v>
      </c>
      <c r="C306" s="6">
        <v>1396.7</v>
      </c>
      <c r="D306" s="6"/>
      <c r="E306" s="6">
        <v>3070</v>
      </c>
    </row>
    <row r="307" spans="1:5" x14ac:dyDescent="0.2">
      <c r="A307">
        <v>2003</v>
      </c>
      <c r="B307" t="s">
        <v>14</v>
      </c>
      <c r="C307" s="6">
        <v>1397.4</v>
      </c>
      <c r="D307" s="6"/>
      <c r="E307" s="6">
        <v>3149</v>
      </c>
    </row>
    <row r="308" spans="1:5" x14ac:dyDescent="0.2">
      <c r="A308">
        <v>2004</v>
      </c>
      <c r="B308" t="s">
        <v>14</v>
      </c>
      <c r="C308" s="6">
        <v>1464.6</v>
      </c>
      <c r="D308" s="6"/>
      <c r="E308" s="6">
        <v>3475</v>
      </c>
    </row>
    <row r="309" spans="1:5" x14ac:dyDescent="0.2">
      <c r="A309">
        <v>2005</v>
      </c>
      <c r="B309" t="s">
        <v>14</v>
      </c>
      <c r="C309" s="6">
        <v>1454.8</v>
      </c>
      <c r="D309" s="6"/>
      <c r="E309" s="6">
        <v>1079</v>
      </c>
    </row>
    <row r="310" spans="1:5" x14ac:dyDescent="0.2">
      <c r="A310">
        <v>2006</v>
      </c>
      <c r="B310" t="s">
        <v>14</v>
      </c>
      <c r="C310" s="6">
        <v>1473.3</v>
      </c>
      <c r="D310" s="6"/>
      <c r="E310" s="6">
        <v>1819</v>
      </c>
    </row>
    <row r="311" spans="1:5" x14ac:dyDescent="0.2">
      <c r="A311">
        <v>2007</v>
      </c>
      <c r="B311" t="s">
        <v>14</v>
      </c>
      <c r="C311" s="6">
        <v>1597.2</v>
      </c>
      <c r="D311" s="6"/>
      <c r="E311" s="6">
        <v>2061</v>
      </c>
    </row>
    <row r="312" spans="1:5" x14ac:dyDescent="0.2">
      <c r="A312">
        <v>2008</v>
      </c>
      <c r="B312" t="s">
        <v>14</v>
      </c>
      <c r="C312" s="6">
        <v>1808</v>
      </c>
      <c r="D312" s="6"/>
      <c r="E312" s="6">
        <v>1509</v>
      </c>
    </row>
    <row r="313" spans="1:5" x14ac:dyDescent="0.2">
      <c r="A313">
        <v>2009</v>
      </c>
      <c r="B313" t="s">
        <v>14</v>
      </c>
      <c r="C313" s="6">
        <v>1690.3</v>
      </c>
      <c r="D313" s="6"/>
      <c r="E313" s="6">
        <v>1475</v>
      </c>
    </row>
    <row r="314" spans="1:5" x14ac:dyDescent="0.2">
      <c r="A314">
        <v>2010</v>
      </c>
      <c r="B314" t="s">
        <v>14</v>
      </c>
      <c r="C314" s="6">
        <v>2004.3</v>
      </c>
      <c r="D314" s="6"/>
      <c r="E314" s="6">
        <v>1643</v>
      </c>
    </row>
    <row r="315" spans="1:5" x14ac:dyDescent="0.2">
      <c r="A315">
        <v>2011</v>
      </c>
      <c r="B315" t="s">
        <v>14</v>
      </c>
      <c r="C315" s="6">
        <v>2120.3000000000002</v>
      </c>
      <c r="D315" s="6"/>
      <c r="E315" s="6">
        <v>2252</v>
      </c>
    </row>
    <row r="316" spans="1:5" x14ac:dyDescent="0.2">
      <c r="A316">
        <v>2012</v>
      </c>
      <c r="B316" t="s">
        <v>14</v>
      </c>
      <c r="C316" s="6">
        <v>2173.1</v>
      </c>
      <c r="D316" s="6"/>
      <c r="E316" s="6">
        <v>2375</v>
      </c>
    </row>
    <row r="317" spans="1:5" x14ac:dyDescent="0.2">
      <c r="A317">
        <v>2013</v>
      </c>
      <c r="B317" t="s">
        <v>14</v>
      </c>
      <c r="C317" s="6">
        <v>2392.5</v>
      </c>
      <c r="D317" s="6"/>
      <c r="E317" s="6">
        <v>2593</v>
      </c>
    </row>
    <row r="318" spans="1:5" x14ac:dyDescent="0.2">
      <c r="A318">
        <v>2014</v>
      </c>
      <c r="B318" t="s">
        <v>14</v>
      </c>
      <c r="C318" s="6">
        <v>2362.6</v>
      </c>
      <c r="D318" s="6"/>
      <c r="E318" s="6">
        <v>2110</v>
      </c>
    </row>
    <row r="319" spans="1:5" x14ac:dyDescent="0.2">
      <c r="A319">
        <v>2015</v>
      </c>
      <c r="B319" t="s">
        <v>14</v>
      </c>
      <c r="C319" s="6">
        <v>2353</v>
      </c>
      <c r="D319" s="6"/>
      <c r="E319" s="6">
        <v>1536</v>
      </c>
    </row>
    <row r="320" spans="1:5" x14ac:dyDescent="0.2">
      <c r="A320">
        <v>2016</v>
      </c>
      <c r="B320" t="s">
        <v>14</v>
      </c>
      <c r="C320" s="6">
        <v>2479.1999999999998</v>
      </c>
      <c r="D320" s="6"/>
      <c r="E320" s="6">
        <v>2168</v>
      </c>
    </row>
    <row r="321" spans="1:5" x14ac:dyDescent="0.2">
      <c r="A321">
        <v>2017</v>
      </c>
      <c r="B321" t="s">
        <v>14</v>
      </c>
      <c r="C321" s="6">
        <v>2806.3</v>
      </c>
      <c r="D321" s="6"/>
      <c r="E321" s="6">
        <v>2057</v>
      </c>
    </row>
    <row r="322" spans="1:5" x14ac:dyDescent="0.2">
      <c r="A322">
        <v>2018</v>
      </c>
      <c r="B322" t="s">
        <v>14</v>
      </c>
      <c r="C322" s="6">
        <v>2932.3</v>
      </c>
      <c r="D322" s="6"/>
      <c r="E322" s="6">
        <v>1655</v>
      </c>
    </row>
    <row r="323" spans="1:5" x14ac:dyDescent="0.2">
      <c r="A323">
        <v>2019</v>
      </c>
      <c r="B323" t="s">
        <v>14</v>
      </c>
      <c r="C323" s="6">
        <v>3161.3</v>
      </c>
      <c r="D323" s="6"/>
      <c r="E323" s="6">
        <v>1475</v>
      </c>
    </row>
    <row r="324" spans="1:5" x14ac:dyDescent="0.2">
      <c r="C324" s="6"/>
      <c r="D324" s="6"/>
      <c r="E324" s="6"/>
    </row>
    <row r="325" spans="1:5" x14ac:dyDescent="0.2">
      <c r="C325" s="6"/>
      <c r="D325" s="6"/>
      <c r="E325" s="6"/>
    </row>
    <row r="326" spans="1:5" x14ac:dyDescent="0.2">
      <c r="C326" s="6"/>
      <c r="D326" s="6"/>
      <c r="E326" s="6"/>
    </row>
    <row r="327" spans="1:5" x14ac:dyDescent="0.2">
      <c r="C327" s="6"/>
      <c r="D327" s="6"/>
      <c r="E327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1D7E-A39D-0645-BE8B-74E100027AA7}">
  <dimension ref="A1:B4"/>
  <sheetViews>
    <sheetView workbookViewId="0">
      <selection activeCell="B3" sqref="B3"/>
    </sheetView>
  </sheetViews>
  <sheetFormatPr baseColWidth="10" defaultRowHeight="16" x14ac:dyDescent="0.2"/>
  <cols>
    <col min="1" max="1" width="21.5" customWidth="1"/>
  </cols>
  <sheetData>
    <row r="1" spans="1:2" x14ac:dyDescent="0.2">
      <c r="A1" t="s">
        <v>24</v>
      </c>
    </row>
    <row r="2" spans="1:2" ht="68" x14ac:dyDescent="0.2">
      <c r="A2" s="7" t="s">
        <v>30</v>
      </c>
      <c r="B2" s="10" t="s">
        <v>25</v>
      </c>
    </row>
    <row r="3" spans="1:2" ht="34" x14ac:dyDescent="0.2">
      <c r="A3" s="7" t="s">
        <v>28</v>
      </c>
      <c r="B3" s="10" t="s">
        <v>26</v>
      </c>
    </row>
    <row r="4" spans="1:2" ht="68" x14ac:dyDescent="0.2">
      <c r="A4" s="7" t="s">
        <v>29</v>
      </c>
      <c r="B4" s="10" t="s">
        <v>27</v>
      </c>
    </row>
  </sheetData>
  <hyperlinks>
    <hyperlink ref="B3" r:id="rId1" xr:uid="{CF0ABD75-3C76-5B49-8446-1F6E964F6987}"/>
    <hyperlink ref="B2" r:id="rId2" xr:uid="{4EF04E9B-D06B-3840-BE4D-283CB0C1BC44}"/>
    <hyperlink ref="B4" r:id="rId3" xr:uid="{5826EE68-DE59-FF4A-A530-0D3D11B981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6B9F-0835-504F-9050-40E5D58447EC}">
  <dimension ref="A1:P142"/>
  <sheetViews>
    <sheetView topLeftCell="C93" zoomScale="119" zoomScaleNormal="90" workbookViewId="0">
      <selection activeCell="H105" sqref="H105:H115"/>
    </sheetView>
  </sheetViews>
  <sheetFormatPr baseColWidth="10" defaultRowHeight="16" x14ac:dyDescent="0.2"/>
  <cols>
    <col min="1" max="1" width="10.83203125" style="3"/>
    <col min="2" max="2" width="30.83203125" style="3" customWidth="1"/>
    <col min="3" max="3" width="14.83203125" style="3" customWidth="1"/>
    <col min="4" max="4" width="23.33203125" style="3" customWidth="1"/>
    <col min="5" max="5" width="18" style="3" customWidth="1"/>
    <col min="6" max="6" width="19.5" style="3" customWidth="1"/>
    <col min="7" max="7" width="21.6640625" style="3" customWidth="1"/>
    <col min="8" max="8" width="17.1640625" style="3" customWidth="1"/>
    <col min="9" max="9" width="29.33203125" style="3" customWidth="1"/>
    <col min="10" max="10" width="30.83203125" style="3" customWidth="1"/>
    <col min="11" max="11" width="34.1640625" style="3" customWidth="1"/>
    <col min="12" max="12" width="27.83203125" style="3" customWidth="1"/>
    <col min="13" max="13" width="9.5" style="3" customWidth="1"/>
    <col min="14" max="14" width="37.33203125" style="3" customWidth="1"/>
    <col min="15" max="15" width="29.6640625" style="3" customWidth="1"/>
    <col min="16" max="16" width="24" style="3" customWidth="1"/>
    <col min="17" max="16384" width="10.83203125" style="3"/>
  </cols>
  <sheetData>
    <row r="1" spans="1:15" ht="19" x14ac:dyDescent="0.2">
      <c r="A1" s="4"/>
      <c r="B1" s="4"/>
      <c r="C1" s="66"/>
      <c r="D1" s="66"/>
      <c r="E1" s="66"/>
      <c r="F1" s="66"/>
      <c r="G1" s="66"/>
      <c r="H1" s="67"/>
      <c r="I1" s="68"/>
      <c r="J1" s="68"/>
      <c r="K1" s="68"/>
      <c r="L1" s="68"/>
      <c r="M1" s="68"/>
      <c r="N1" s="68"/>
      <c r="O1" s="68"/>
    </row>
    <row r="2" spans="1:15" ht="19" x14ac:dyDescent="0.2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4"/>
      <c r="M2" s="4"/>
      <c r="N2" s="4"/>
      <c r="O2" s="4"/>
    </row>
    <row r="3" spans="1:15" ht="19" x14ac:dyDescent="0.2">
      <c r="A3" s="4"/>
      <c r="B3" s="5"/>
      <c r="C3" s="5"/>
      <c r="D3" s="5"/>
      <c r="E3" s="5"/>
      <c r="F3" s="5"/>
      <c r="G3" s="5"/>
      <c r="H3" s="4"/>
      <c r="I3" s="5"/>
      <c r="J3" s="5"/>
      <c r="K3" s="5"/>
      <c r="L3" s="4"/>
      <c r="M3" s="4"/>
      <c r="N3" s="4"/>
      <c r="O3" s="4"/>
    </row>
    <row r="4" spans="1:15" ht="19" x14ac:dyDescent="0.2">
      <c r="A4" s="4"/>
      <c r="B4" s="5"/>
      <c r="C4" s="5"/>
      <c r="D4" s="5"/>
      <c r="E4" s="5"/>
      <c r="F4" s="5"/>
      <c r="G4" s="18"/>
      <c r="H4" s="8"/>
      <c r="I4" s="5"/>
      <c r="J4" s="5"/>
      <c r="K4" s="5"/>
      <c r="L4" s="4"/>
      <c r="M4" s="4"/>
      <c r="N4" s="4"/>
      <c r="O4" s="4"/>
    </row>
    <row r="5" spans="1:15" ht="19" x14ac:dyDescent="0.2">
      <c r="A5" s="4"/>
      <c r="B5" s="9"/>
      <c r="C5" s="5"/>
      <c r="D5" s="5"/>
      <c r="E5" s="5"/>
      <c r="F5" s="5"/>
      <c r="G5" s="4"/>
      <c r="H5" s="8"/>
      <c r="I5" s="5"/>
      <c r="J5" s="5"/>
      <c r="K5" s="5"/>
      <c r="L5" s="4"/>
      <c r="M5" s="4"/>
      <c r="N5" s="4"/>
      <c r="O5" s="4"/>
    </row>
    <row r="6" spans="1:15" ht="19" x14ac:dyDescent="0.2">
      <c r="A6" s="4"/>
      <c r="B6" s="5"/>
      <c r="C6" s="5"/>
      <c r="D6" s="5"/>
      <c r="E6" s="5"/>
      <c r="F6" s="5"/>
      <c r="G6" s="5"/>
      <c r="H6" s="8"/>
      <c r="I6" s="5"/>
      <c r="J6" s="5"/>
      <c r="K6" s="5"/>
      <c r="L6" s="4"/>
      <c r="M6" s="4"/>
      <c r="N6" s="4"/>
      <c r="O6" s="4"/>
    </row>
    <row r="7" spans="1:15" ht="19" x14ac:dyDescent="0.2">
      <c r="A7" s="4"/>
      <c r="B7" s="5"/>
      <c r="C7" s="5"/>
      <c r="D7" s="5"/>
      <c r="E7" s="5"/>
      <c r="F7" s="5"/>
      <c r="G7" s="4"/>
      <c r="H7" s="8"/>
      <c r="I7" s="5"/>
      <c r="J7" s="5"/>
      <c r="K7" s="5"/>
      <c r="L7" s="4"/>
      <c r="M7" s="4"/>
      <c r="N7" s="4"/>
      <c r="O7" s="4"/>
    </row>
    <row r="8" spans="1:15" ht="19" x14ac:dyDescent="0.2">
      <c r="A8" s="4"/>
      <c r="B8" s="5"/>
      <c r="C8" s="5"/>
      <c r="D8" s="5"/>
      <c r="E8" s="5"/>
      <c r="F8" s="5"/>
      <c r="G8" s="5"/>
      <c r="H8" s="8"/>
      <c r="I8" s="5"/>
      <c r="J8" s="5"/>
      <c r="K8" s="5"/>
      <c r="L8" s="4"/>
      <c r="M8" s="4"/>
      <c r="N8" s="4"/>
      <c r="O8" s="4"/>
    </row>
    <row r="9" spans="1:15" ht="19" x14ac:dyDescent="0.2">
      <c r="A9" s="4"/>
      <c r="B9" s="5"/>
      <c r="C9" s="5"/>
      <c r="D9" s="5"/>
      <c r="E9" s="5"/>
      <c r="F9" s="5"/>
      <c r="G9" s="5"/>
      <c r="H9" s="8"/>
      <c r="I9" s="5"/>
      <c r="J9" s="5"/>
      <c r="K9" s="4"/>
      <c r="L9" s="4"/>
      <c r="M9" s="4"/>
      <c r="N9" s="4"/>
      <c r="O9" s="4"/>
    </row>
    <row r="10" spans="1:15" ht="19" x14ac:dyDescent="0.2">
      <c r="A10" s="4"/>
      <c r="B10" s="5"/>
      <c r="C10" s="5"/>
      <c r="D10" s="5"/>
      <c r="E10" s="5"/>
      <c r="F10" s="5"/>
      <c r="G10" s="5"/>
      <c r="H10" s="4"/>
      <c r="I10" s="5"/>
      <c r="J10" s="5"/>
      <c r="K10" s="5"/>
      <c r="L10" s="4"/>
      <c r="M10" s="4"/>
      <c r="N10" s="4"/>
      <c r="O10" s="4"/>
    </row>
    <row r="11" spans="1:15" ht="19" x14ac:dyDescent="0.2">
      <c r="A11" s="4"/>
      <c r="B11" s="5"/>
      <c r="C11" s="5"/>
      <c r="D11" s="5"/>
      <c r="E11" s="5"/>
      <c r="F11" s="5"/>
      <c r="G11" s="5"/>
      <c r="H11" s="8"/>
      <c r="I11" s="5"/>
      <c r="J11" s="5"/>
      <c r="K11" s="5"/>
      <c r="L11" s="4"/>
      <c r="M11" s="4"/>
      <c r="N11" s="4"/>
      <c r="O11" s="4"/>
    </row>
    <row r="12" spans="1:15" ht="19" x14ac:dyDescent="0.2">
      <c r="A12" s="4"/>
      <c r="B12" s="5"/>
      <c r="C12" s="5"/>
      <c r="D12" s="5"/>
      <c r="E12" s="5"/>
      <c r="F12" s="5"/>
      <c r="G12" s="5"/>
      <c r="H12" s="4"/>
      <c r="I12" s="5"/>
      <c r="J12" s="5"/>
      <c r="K12" s="5"/>
      <c r="L12" s="4"/>
      <c r="M12" s="4"/>
      <c r="N12" s="4"/>
      <c r="O12" s="4"/>
    </row>
    <row r="13" spans="1:15" ht="19" x14ac:dyDescent="0.2">
      <c r="A13" s="4"/>
      <c r="B13" s="5"/>
      <c r="C13" s="5"/>
      <c r="D13" s="5"/>
      <c r="E13" s="5"/>
      <c r="F13" s="5"/>
      <c r="G13" s="5"/>
      <c r="H13" s="4"/>
      <c r="I13" s="5"/>
      <c r="J13" s="5"/>
      <c r="K13" s="5"/>
      <c r="L13" s="4"/>
      <c r="M13" s="4"/>
      <c r="N13" s="4"/>
      <c r="O13" s="4"/>
    </row>
    <row r="14" spans="1:15" ht="19" x14ac:dyDescent="0.2">
      <c r="A14" s="4"/>
      <c r="B14" s="5"/>
      <c r="C14" s="5"/>
      <c r="D14" s="5"/>
      <c r="E14" s="5"/>
      <c r="F14" s="5"/>
      <c r="G14" s="5"/>
      <c r="H14" s="8"/>
      <c r="I14" s="5"/>
      <c r="J14" s="5"/>
      <c r="K14" s="5"/>
      <c r="L14" s="4"/>
      <c r="M14" s="4"/>
      <c r="N14" s="4"/>
      <c r="O14" s="4"/>
    </row>
    <row r="16" spans="1:15" ht="19" x14ac:dyDescent="0.2">
      <c r="C16" s="68"/>
      <c r="D16" s="68"/>
      <c r="E16" s="68"/>
      <c r="F16" s="68"/>
      <c r="G16" s="68"/>
      <c r="H16" s="68"/>
      <c r="I16" s="68"/>
      <c r="J16" s="68"/>
    </row>
    <row r="17" spans="2:16" ht="19" x14ac:dyDescent="0.2">
      <c r="B17" s="4"/>
      <c r="C17" s="5"/>
      <c r="D17" s="66" t="s">
        <v>36</v>
      </c>
      <c r="E17" s="69"/>
      <c r="F17" s="66" t="s">
        <v>39</v>
      </c>
      <c r="G17" s="66"/>
      <c r="I17" s="17"/>
      <c r="J17" s="70" t="s">
        <v>40</v>
      </c>
      <c r="K17" s="71"/>
      <c r="L17" s="71"/>
    </row>
    <row r="18" spans="2:16" ht="20" thickBot="1" x14ac:dyDescent="0.25">
      <c r="B18" s="4"/>
      <c r="C18" s="4"/>
      <c r="D18" s="5" t="s">
        <v>37</v>
      </c>
      <c r="E18" s="13" t="s">
        <v>38</v>
      </c>
      <c r="F18" s="5" t="s">
        <v>37</v>
      </c>
      <c r="G18" s="5" t="s">
        <v>38</v>
      </c>
      <c r="I18" s="5"/>
      <c r="J18" s="5" t="s">
        <v>19</v>
      </c>
      <c r="K18" s="5" t="s">
        <v>20</v>
      </c>
      <c r="L18" s="4"/>
      <c r="N18" s="39"/>
      <c r="O18" s="65" t="s">
        <v>58</v>
      </c>
      <c r="P18" s="65"/>
    </row>
    <row r="19" spans="2:16" ht="20" thickBot="1" x14ac:dyDescent="0.25">
      <c r="B19" s="4"/>
      <c r="C19" s="4" t="s">
        <v>21</v>
      </c>
      <c r="D19" s="19">
        <v>-2.0129999999999999</v>
      </c>
      <c r="E19" s="25">
        <v>0.59419999999999995</v>
      </c>
      <c r="F19" s="19">
        <v>-3.7309999999999999</v>
      </c>
      <c r="G19" s="19">
        <v>3.7000000000000002E-3</v>
      </c>
      <c r="I19" s="5"/>
      <c r="J19" s="5" t="s">
        <v>37</v>
      </c>
      <c r="K19" s="4" t="s">
        <v>47</v>
      </c>
      <c r="L19" s="4" t="s">
        <v>49</v>
      </c>
      <c r="N19" s="39"/>
      <c r="O19" s="53" t="s">
        <v>62</v>
      </c>
      <c r="P19" s="49" t="s">
        <v>37</v>
      </c>
    </row>
    <row r="20" spans="2:16" ht="19" x14ac:dyDescent="0.2">
      <c r="B20" s="5" t="s">
        <v>10</v>
      </c>
      <c r="C20" s="4" t="s">
        <v>22</v>
      </c>
      <c r="D20" s="19">
        <v>-1.6970000000000001</v>
      </c>
      <c r="E20" s="25">
        <v>0.75229999999999997</v>
      </c>
      <c r="F20" s="19">
        <v>-4.3650000000000002</v>
      </c>
      <c r="G20" s="19">
        <v>2.9999999999999997E-4</v>
      </c>
      <c r="I20" s="5" t="s">
        <v>10</v>
      </c>
      <c r="J20" s="24">
        <v>-4.0199999999999996</v>
      </c>
      <c r="K20" s="24" t="s">
        <v>46</v>
      </c>
      <c r="L20" s="24">
        <v>34.549999999999997</v>
      </c>
      <c r="N20" s="5" t="s">
        <v>17</v>
      </c>
      <c r="O20" s="52" t="s">
        <v>63</v>
      </c>
      <c r="P20" s="52" t="s">
        <v>63</v>
      </c>
    </row>
    <row r="21" spans="2:16" ht="19" x14ac:dyDescent="0.2">
      <c r="B21" s="4"/>
      <c r="C21" s="4" t="s">
        <v>23</v>
      </c>
      <c r="D21" s="19">
        <v>-2.89</v>
      </c>
      <c r="E21" s="25">
        <v>0.16600000000000001</v>
      </c>
      <c r="F21" s="19">
        <v>-4.806</v>
      </c>
      <c r="G21" s="19">
        <v>1E-4</v>
      </c>
      <c r="I21" s="5" t="s">
        <v>11</v>
      </c>
      <c r="J21" s="24">
        <v>-4.1950000000000003</v>
      </c>
      <c r="K21" s="24" t="s">
        <v>55</v>
      </c>
      <c r="L21" s="24">
        <v>18.170000000000002</v>
      </c>
      <c r="N21" s="5" t="s">
        <v>11</v>
      </c>
      <c r="O21" s="4">
        <v>1</v>
      </c>
      <c r="P21" s="51" t="s">
        <v>64</v>
      </c>
    </row>
    <row r="22" spans="2:16" ht="19" x14ac:dyDescent="0.2">
      <c r="B22" s="5"/>
      <c r="C22" s="4" t="s">
        <v>21</v>
      </c>
      <c r="D22" s="19">
        <v>-2.8</v>
      </c>
      <c r="E22" s="25">
        <v>0.19700000000000001</v>
      </c>
      <c r="F22" s="22">
        <v>-3.5590000000000002</v>
      </c>
      <c r="G22" s="19">
        <v>6.6E-3</v>
      </c>
      <c r="I22" s="5" t="s">
        <v>17</v>
      </c>
      <c r="J22" s="24">
        <v>-4.5979999999999999</v>
      </c>
      <c r="K22" s="24" t="s">
        <v>42</v>
      </c>
      <c r="L22" s="24"/>
      <c r="N22" s="5" t="s">
        <v>10</v>
      </c>
      <c r="O22" s="4">
        <v>0</v>
      </c>
      <c r="P22" s="51" t="s">
        <v>65</v>
      </c>
    </row>
    <row r="23" spans="2:16" ht="19" x14ac:dyDescent="0.2">
      <c r="B23" s="5" t="s">
        <v>17</v>
      </c>
      <c r="C23" s="4" t="s">
        <v>22</v>
      </c>
      <c r="D23" s="19">
        <v>-2.6890000000000001</v>
      </c>
      <c r="E23" s="20">
        <v>0.2407</v>
      </c>
      <c r="F23" s="19">
        <v>-4.43</v>
      </c>
      <c r="G23" s="19">
        <v>2.9999999999999997E-4</v>
      </c>
      <c r="I23" s="5" t="s">
        <v>41</v>
      </c>
      <c r="J23" s="24">
        <v>-2.9809999999999999</v>
      </c>
      <c r="K23" s="24" t="s">
        <v>48</v>
      </c>
      <c r="L23" s="24">
        <v>18.170000000000002</v>
      </c>
      <c r="N23" s="5" t="s">
        <v>9</v>
      </c>
      <c r="O23" s="8" t="s">
        <v>63</v>
      </c>
      <c r="P23" s="8" t="s">
        <v>63</v>
      </c>
    </row>
    <row r="24" spans="2:16" ht="19" x14ac:dyDescent="0.2">
      <c r="B24" s="5"/>
      <c r="C24" s="4" t="s">
        <v>23</v>
      </c>
      <c r="D24" s="19">
        <v>-2.5089999999999999</v>
      </c>
      <c r="E24" s="25">
        <v>0.3236</v>
      </c>
      <c r="F24" s="19">
        <v>-4.633</v>
      </c>
      <c r="G24" s="19">
        <v>1E-4</v>
      </c>
      <c r="I24" s="5" t="s">
        <v>5</v>
      </c>
      <c r="J24" s="24">
        <v>-4.4119999999999999</v>
      </c>
      <c r="K24" s="24" t="s">
        <v>50</v>
      </c>
      <c r="L24" s="24">
        <v>18.170000000000002</v>
      </c>
      <c r="N24" s="5" t="s">
        <v>41</v>
      </c>
      <c r="O24" s="4">
        <v>1</v>
      </c>
      <c r="P24" s="51" t="s">
        <v>66</v>
      </c>
    </row>
    <row r="25" spans="2:16" ht="19" x14ac:dyDescent="0.2">
      <c r="B25" s="5"/>
      <c r="C25" s="4" t="s">
        <v>21</v>
      </c>
      <c r="D25" s="19">
        <v>-3.4849999999999999</v>
      </c>
      <c r="E25" s="25">
        <v>4.1099999999999998E-2</v>
      </c>
      <c r="F25" s="19">
        <v>-5.7320000000000002</v>
      </c>
      <c r="G25" s="19">
        <v>0</v>
      </c>
      <c r="I25" s="5" t="s">
        <v>2</v>
      </c>
      <c r="J25" s="24">
        <v>-4.0880000000000001</v>
      </c>
      <c r="K25" s="24" t="s">
        <v>42</v>
      </c>
      <c r="L25" s="24"/>
      <c r="N25" s="5" t="s">
        <v>7</v>
      </c>
      <c r="O25" s="4">
        <v>2</v>
      </c>
      <c r="P25" s="51" t="s">
        <v>67</v>
      </c>
    </row>
    <row r="26" spans="2:16" ht="19" x14ac:dyDescent="0.2">
      <c r="B26" s="5" t="s">
        <v>8</v>
      </c>
      <c r="C26" s="4" t="s">
        <v>22</v>
      </c>
      <c r="D26" s="19">
        <v>-1.145</v>
      </c>
      <c r="E26" s="25">
        <v>0.92120000000000002</v>
      </c>
      <c r="F26" s="19">
        <v>-4.5289999999999999</v>
      </c>
      <c r="G26" s="19">
        <v>2.0000000000000001E-4</v>
      </c>
      <c r="I26" s="5" t="s">
        <v>4</v>
      </c>
      <c r="J26" s="24">
        <v>-3.347</v>
      </c>
      <c r="K26" s="24" t="s">
        <v>51</v>
      </c>
      <c r="L26" s="24">
        <v>34.549999999999997</v>
      </c>
      <c r="N26" s="5" t="s">
        <v>6</v>
      </c>
      <c r="O26" s="4">
        <v>1</v>
      </c>
      <c r="P26" s="51" t="s">
        <v>68</v>
      </c>
    </row>
    <row r="27" spans="2:16" ht="20" thickBot="1" x14ac:dyDescent="0.25">
      <c r="B27" s="5"/>
      <c r="C27" s="4" t="s">
        <v>23</v>
      </c>
      <c r="D27" s="19">
        <v>-1.143</v>
      </c>
      <c r="E27" s="25">
        <v>0.92149999999999999</v>
      </c>
      <c r="F27" s="19">
        <v>-4.3570000000000002</v>
      </c>
      <c r="G27" s="19">
        <v>4.0000000000000002E-4</v>
      </c>
      <c r="I27" s="5" t="s">
        <v>7</v>
      </c>
      <c r="J27" s="24">
        <v>-5.3070000000000004</v>
      </c>
      <c r="K27" s="24" t="s">
        <v>52</v>
      </c>
      <c r="L27" s="34">
        <v>3.74</v>
      </c>
      <c r="N27" s="5" t="s">
        <v>2</v>
      </c>
      <c r="O27" s="8" t="s">
        <v>63</v>
      </c>
      <c r="P27" s="8" t="s">
        <v>63</v>
      </c>
    </row>
    <row r="28" spans="2:16" ht="19" x14ac:dyDescent="0.2">
      <c r="B28" s="5"/>
      <c r="C28" s="4" t="s">
        <v>21</v>
      </c>
      <c r="D28" s="19">
        <v>-3.206</v>
      </c>
      <c r="E28" s="25">
        <v>8.3199999999999996E-2</v>
      </c>
      <c r="F28" s="22">
        <v>-2.94</v>
      </c>
      <c r="G28" s="19">
        <v>4.0899999999999999E-2</v>
      </c>
      <c r="I28" s="5" t="s">
        <v>3</v>
      </c>
      <c r="J28" s="24">
        <v>-3.86</v>
      </c>
      <c r="K28" s="24" t="s">
        <v>53</v>
      </c>
      <c r="L28" s="33">
        <v>18.170000000000002</v>
      </c>
      <c r="N28" s="5" t="s">
        <v>3</v>
      </c>
      <c r="O28" s="4">
        <v>1</v>
      </c>
      <c r="P28" s="51" t="s">
        <v>69</v>
      </c>
    </row>
    <row r="29" spans="2:16" ht="19" x14ac:dyDescent="0.2">
      <c r="B29" s="5" t="s">
        <v>5</v>
      </c>
      <c r="C29" s="4" t="s">
        <v>22</v>
      </c>
      <c r="D29" s="19">
        <v>-2.5619999999999998</v>
      </c>
      <c r="E29" s="25">
        <v>0.29749999999999999</v>
      </c>
      <c r="F29" s="19">
        <v>-4.4240000000000004</v>
      </c>
      <c r="G29" s="19">
        <v>2.9999999999999997E-4</v>
      </c>
      <c r="I29" s="5" t="s">
        <v>6</v>
      </c>
      <c r="J29" s="24">
        <v>-4.0119999999999996</v>
      </c>
      <c r="K29" s="24" t="s">
        <v>54</v>
      </c>
      <c r="L29" s="24">
        <v>18.170000000000002</v>
      </c>
      <c r="N29" s="5" t="s">
        <v>5</v>
      </c>
      <c r="O29" s="4">
        <v>0</v>
      </c>
      <c r="P29" s="51" t="s">
        <v>70</v>
      </c>
    </row>
    <row r="30" spans="2:16" ht="16" customHeight="1" x14ac:dyDescent="0.2">
      <c r="B30" s="4"/>
      <c r="C30" s="4" t="s">
        <v>23</v>
      </c>
      <c r="D30" s="19">
        <v>-1.837</v>
      </c>
      <c r="E30" s="25">
        <v>0.68659999999999999</v>
      </c>
      <c r="F30" s="19">
        <v>-4.5570000000000004</v>
      </c>
      <c r="G30" s="19">
        <v>2.0000000000000001E-4</v>
      </c>
      <c r="I30" s="5" t="s">
        <v>9</v>
      </c>
      <c r="J30" s="24">
        <v>-2.91</v>
      </c>
      <c r="K30" s="24" t="s">
        <v>42</v>
      </c>
      <c r="L30" s="24"/>
      <c r="N30" s="5" t="s">
        <v>4</v>
      </c>
      <c r="O30" s="4">
        <v>0</v>
      </c>
      <c r="P30" s="51" t="s">
        <v>71</v>
      </c>
    </row>
    <row r="31" spans="2:16" ht="19" x14ac:dyDescent="0.2">
      <c r="B31" s="4"/>
      <c r="C31" s="4" t="s">
        <v>21</v>
      </c>
      <c r="D31" s="19">
        <v>-3.2970000000000002</v>
      </c>
      <c r="E31" s="25">
        <v>6.6699999999999995E-2</v>
      </c>
      <c r="F31" s="22">
        <v>-2.3809999999999998</v>
      </c>
      <c r="G31" s="19">
        <v>0.14729999999999999</v>
      </c>
      <c r="N31" s="28"/>
    </row>
    <row r="32" spans="2:16" ht="19" x14ac:dyDescent="0.2">
      <c r="B32" s="4" t="s">
        <v>4</v>
      </c>
      <c r="C32" s="4" t="s">
        <v>22</v>
      </c>
      <c r="D32" s="19">
        <v>-2.0939999999999999</v>
      </c>
      <c r="E32" s="25">
        <v>0.54959999999999998</v>
      </c>
      <c r="F32" s="19">
        <v>-4.633</v>
      </c>
      <c r="G32" s="19">
        <v>1E-4</v>
      </c>
      <c r="N32" s="29"/>
    </row>
    <row r="33" spans="2:16" ht="19" x14ac:dyDescent="0.2">
      <c r="B33" s="4"/>
      <c r="C33" s="4" t="s">
        <v>23</v>
      </c>
      <c r="D33" s="19">
        <v>-2.91</v>
      </c>
      <c r="E33" s="25">
        <v>0.15909999999999999</v>
      </c>
      <c r="F33" s="19">
        <v>-6.4889999999999999</v>
      </c>
      <c r="G33" s="19">
        <v>0</v>
      </c>
    </row>
    <row r="34" spans="2:16" ht="19" x14ac:dyDescent="0.2">
      <c r="B34" s="4"/>
      <c r="C34" s="4" t="s">
        <v>21</v>
      </c>
      <c r="D34" s="19">
        <v>-2.9580000000000002</v>
      </c>
      <c r="E34" s="25">
        <v>0.14419999999999999</v>
      </c>
      <c r="F34" s="22">
        <v>-2.8069999999999999</v>
      </c>
      <c r="G34" s="19">
        <v>5.7200000000000001E-2</v>
      </c>
    </row>
    <row r="35" spans="2:16" ht="19" x14ac:dyDescent="0.2">
      <c r="B35" s="4" t="s">
        <v>7</v>
      </c>
      <c r="C35" s="4" t="s">
        <v>22</v>
      </c>
      <c r="D35" s="19">
        <v>-2.5329999999999999</v>
      </c>
      <c r="E35" s="25">
        <v>0.31169999999999998</v>
      </c>
      <c r="F35" s="19">
        <v>-5.2309999999999999</v>
      </c>
      <c r="G35" s="19">
        <v>0</v>
      </c>
    </row>
    <row r="36" spans="2:16" ht="19" x14ac:dyDescent="0.2">
      <c r="B36" s="4"/>
      <c r="C36" s="4" t="s">
        <v>23</v>
      </c>
      <c r="D36" s="19">
        <v>-2.871</v>
      </c>
      <c r="E36" s="25">
        <v>0.17219999999999999</v>
      </c>
      <c r="F36" s="19">
        <v>-5.3579999999999997</v>
      </c>
      <c r="G36" s="19">
        <v>0</v>
      </c>
    </row>
    <row r="37" spans="2:16" ht="19" x14ac:dyDescent="0.2">
      <c r="B37" s="4"/>
      <c r="C37" s="4" t="s">
        <v>21</v>
      </c>
      <c r="D37" s="19">
        <v>-3.4129999999999998</v>
      </c>
      <c r="E37" s="25">
        <v>4.9599999999999998E-2</v>
      </c>
      <c r="F37" s="22">
        <v>-2.9470000000000001</v>
      </c>
      <c r="G37" s="19">
        <v>4.0099999999999997E-2</v>
      </c>
    </row>
    <row r="38" spans="2:16" ht="19" x14ac:dyDescent="0.2">
      <c r="B38" s="4" t="s">
        <v>6</v>
      </c>
      <c r="C38" s="4" t="s">
        <v>22</v>
      </c>
      <c r="D38" s="19">
        <v>-1.988</v>
      </c>
      <c r="E38" s="25">
        <v>0.6079</v>
      </c>
      <c r="F38" s="19">
        <v>-4.7380000000000004</v>
      </c>
      <c r="G38" s="19">
        <v>1E-4</v>
      </c>
    </row>
    <row r="39" spans="2:16" ht="19" x14ac:dyDescent="0.2">
      <c r="B39" s="4"/>
      <c r="C39" s="4" t="s">
        <v>23</v>
      </c>
      <c r="D39" s="19">
        <v>-0.76600000000000001</v>
      </c>
      <c r="E39" s="25">
        <v>0.96840000000000004</v>
      </c>
      <c r="F39" s="22">
        <v>-3.3380000000000001</v>
      </c>
      <c r="G39" s="19">
        <v>1.3299999999999999E-2</v>
      </c>
    </row>
    <row r="40" spans="2:16" ht="19" x14ac:dyDescent="0.2">
      <c r="B40" s="4"/>
      <c r="C40" s="4" t="s">
        <v>21</v>
      </c>
      <c r="D40" s="19">
        <v>-2.504</v>
      </c>
      <c r="E40" s="25">
        <v>0.32590000000000002</v>
      </c>
      <c r="F40" s="19">
        <v>-3.653</v>
      </c>
      <c r="G40" s="19">
        <v>4.7999999999999996E-3</v>
      </c>
    </row>
    <row r="41" spans="2:16" ht="20" thickBot="1" x14ac:dyDescent="0.25">
      <c r="B41" s="4" t="s">
        <v>11</v>
      </c>
      <c r="C41" s="4" t="s">
        <v>22</v>
      </c>
      <c r="D41" s="19">
        <v>-1.5720000000000001</v>
      </c>
      <c r="E41" s="25">
        <v>0.80300000000000005</v>
      </c>
      <c r="F41" s="19">
        <v>-4.3109999999999999</v>
      </c>
      <c r="G41" s="19">
        <v>4.0000000000000002E-4</v>
      </c>
      <c r="J41" s="72" t="s">
        <v>45</v>
      </c>
      <c r="K41" s="72"/>
      <c r="L41" s="72"/>
      <c r="M41" s="72"/>
      <c r="N41" s="72"/>
      <c r="O41" s="72"/>
      <c r="P41" s="72"/>
    </row>
    <row r="42" spans="2:16" ht="20" thickBot="1" x14ac:dyDescent="0.25">
      <c r="B42" s="4"/>
      <c r="C42" s="4" t="s">
        <v>23</v>
      </c>
      <c r="D42" s="19">
        <v>-0.78800000000000003</v>
      </c>
      <c r="E42" s="25">
        <v>0.9667</v>
      </c>
      <c r="F42" s="22">
        <v>-3.56</v>
      </c>
      <c r="G42" s="19">
        <v>6.6E-3</v>
      </c>
      <c r="I42" s="15"/>
      <c r="J42" s="12" t="s">
        <v>31</v>
      </c>
      <c r="K42" s="11" t="s">
        <v>32</v>
      </c>
      <c r="L42" s="14" t="s">
        <v>43</v>
      </c>
      <c r="M42" s="11" t="s">
        <v>33</v>
      </c>
      <c r="N42" s="14" t="s">
        <v>34</v>
      </c>
      <c r="O42" s="14" t="s">
        <v>44</v>
      </c>
      <c r="P42" s="16" t="s">
        <v>35</v>
      </c>
    </row>
    <row r="43" spans="2:16" ht="19" x14ac:dyDescent="0.2">
      <c r="B43" s="4"/>
      <c r="C43" s="4" t="s">
        <v>21</v>
      </c>
      <c r="D43" s="19">
        <v>-1.885</v>
      </c>
      <c r="E43" s="25">
        <v>0.66239999999999999</v>
      </c>
      <c r="F43" s="19">
        <v>-4.141</v>
      </c>
      <c r="G43" s="19">
        <v>8.0000000000000004E-4</v>
      </c>
      <c r="I43" s="13" t="s">
        <v>10</v>
      </c>
      <c r="J43" s="21">
        <v>0.95889999999999997</v>
      </c>
      <c r="K43" s="21">
        <v>0.29780000000000001</v>
      </c>
      <c r="L43" s="21">
        <v>0.1462</v>
      </c>
      <c r="M43" s="21">
        <v>0.20530000000000001</v>
      </c>
      <c r="N43" s="21">
        <v>0.22239999999999999</v>
      </c>
      <c r="O43" s="21">
        <v>0.46079999999999999</v>
      </c>
      <c r="P43" s="21">
        <v>0.44409999999999999</v>
      </c>
    </row>
    <row r="44" spans="2:16" ht="19" x14ac:dyDescent="0.2">
      <c r="B44" s="4" t="s">
        <v>2</v>
      </c>
      <c r="C44" s="4" t="s">
        <v>22</v>
      </c>
      <c r="D44" s="19">
        <v>-2.9929999999999999</v>
      </c>
      <c r="E44" s="25">
        <v>0.13400000000000001</v>
      </c>
      <c r="F44" s="19">
        <v>-4.7450000000000001</v>
      </c>
      <c r="G44" s="19">
        <v>1E-4</v>
      </c>
      <c r="I44" s="13" t="s">
        <v>11</v>
      </c>
      <c r="J44" s="19">
        <v>0.33560000000000001</v>
      </c>
      <c r="K44" s="19">
        <v>3.1E-2</v>
      </c>
      <c r="L44" s="19">
        <v>0.95450000000000002</v>
      </c>
      <c r="M44" s="22">
        <v>4.5999999999999999E-3</v>
      </c>
      <c r="N44" s="19">
        <v>0.66569999999999996</v>
      </c>
      <c r="O44" s="19">
        <v>0.16450000000000001</v>
      </c>
      <c r="P44" s="19">
        <v>0.23669999999999999</v>
      </c>
    </row>
    <row r="45" spans="2:16" ht="19" x14ac:dyDescent="0.2">
      <c r="B45" s="4"/>
      <c r="C45" s="4" t="s">
        <v>23</v>
      </c>
      <c r="D45" s="19">
        <v>-2.46</v>
      </c>
      <c r="E45" s="25">
        <v>0.3483</v>
      </c>
      <c r="F45" s="19">
        <v>-5.54</v>
      </c>
      <c r="G45" s="19">
        <v>0</v>
      </c>
      <c r="I45" s="13" t="s">
        <v>17</v>
      </c>
      <c r="J45" s="19">
        <v>0.7772</v>
      </c>
      <c r="K45" s="19">
        <v>0.71719999999999995</v>
      </c>
      <c r="L45" s="19">
        <v>0.45119999999999999</v>
      </c>
      <c r="M45" s="19">
        <v>0.77400000000000002</v>
      </c>
      <c r="N45" s="19">
        <v>0.81630000000000003</v>
      </c>
      <c r="O45" s="19">
        <v>0.83730000000000004</v>
      </c>
      <c r="P45" s="19">
        <v>0.34689999999999999</v>
      </c>
    </row>
    <row r="46" spans="2:16" ht="19" x14ac:dyDescent="0.2">
      <c r="B46" s="4"/>
      <c r="C46" s="4" t="s">
        <v>21</v>
      </c>
      <c r="D46" s="19">
        <v>-2.4550000000000001</v>
      </c>
      <c r="E46" s="25">
        <v>0.3508</v>
      </c>
      <c r="F46" s="19">
        <v>-4.5229999999999997</v>
      </c>
      <c r="G46" s="19">
        <v>2.0000000000000001E-4</v>
      </c>
      <c r="I46" s="13" t="s">
        <v>41</v>
      </c>
      <c r="J46" s="19">
        <v>0.30059999999999998</v>
      </c>
      <c r="K46" s="19">
        <v>0.1178</v>
      </c>
      <c r="L46" s="19">
        <v>7.2900000000000006E-2</v>
      </c>
      <c r="M46" s="19">
        <v>0.23100000000000001</v>
      </c>
      <c r="N46" s="19">
        <v>2.0400000000000001E-2</v>
      </c>
      <c r="O46" s="19">
        <v>5.2699999999999997E-2</v>
      </c>
      <c r="P46" s="19">
        <v>0.5</v>
      </c>
    </row>
    <row r="47" spans="2:16" ht="19" x14ac:dyDescent="0.2">
      <c r="B47" s="4" t="s">
        <v>3</v>
      </c>
      <c r="C47" s="4" t="s">
        <v>22</v>
      </c>
      <c r="D47" s="19">
        <v>-2.9929999999999999</v>
      </c>
      <c r="E47" s="25">
        <v>0.13420000000000001</v>
      </c>
      <c r="F47" s="19">
        <v>-3.9889999999999999</v>
      </c>
      <c r="G47" s="19">
        <v>1.5E-3</v>
      </c>
      <c r="I47" s="13" t="s">
        <v>5</v>
      </c>
      <c r="J47" s="19">
        <v>6.7500000000000004E-2</v>
      </c>
      <c r="K47" s="19">
        <v>0.98170000000000002</v>
      </c>
      <c r="L47" s="19">
        <v>0.13350000000000001</v>
      </c>
      <c r="M47" s="19">
        <v>0.36059999999999998</v>
      </c>
      <c r="N47" s="19">
        <v>0.749</v>
      </c>
      <c r="O47" s="19">
        <v>0.75780000000000003</v>
      </c>
      <c r="P47" s="19">
        <v>0.78669999999999995</v>
      </c>
    </row>
    <row r="48" spans="2:16" ht="19" x14ac:dyDescent="0.2">
      <c r="B48" s="4"/>
      <c r="C48" s="4" t="s">
        <v>23</v>
      </c>
      <c r="D48" s="19">
        <v>-2.1909999999999998</v>
      </c>
      <c r="E48" s="25">
        <v>0.49459999999999998</v>
      </c>
      <c r="F48" s="19">
        <v>-6.1440000000000001</v>
      </c>
      <c r="G48" s="19">
        <v>0</v>
      </c>
      <c r="I48" s="13" t="s">
        <v>2</v>
      </c>
      <c r="J48" s="19">
        <v>0.52270000000000005</v>
      </c>
      <c r="K48" s="19">
        <v>0.71150000000000002</v>
      </c>
      <c r="L48" s="19">
        <v>0.44819999999999999</v>
      </c>
      <c r="M48" s="19">
        <v>0.16270000000000001</v>
      </c>
      <c r="N48" s="22">
        <v>9.2999999999999992E-3</v>
      </c>
      <c r="O48" s="19">
        <v>3.0599999999999999E-2</v>
      </c>
      <c r="P48" s="19">
        <v>9.7000000000000003E-2</v>
      </c>
    </row>
    <row r="49" spans="1:16" ht="19" x14ac:dyDescent="0.2">
      <c r="B49" s="4"/>
      <c r="C49" s="4" t="s">
        <v>21</v>
      </c>
      <c r="D49" s="19">
        <v>-3.22</v>
      </c>
      <c r="E49" s="25">
        <v>8.0600000000000005E-2</v>
      </c>
      <c r="F49" s="19">
        <v>-5.202</v>
      </c>
      <c r="G49" s="19">
        <v>0</v>
      </c>
      <c r="I49" s="13" t="s">
        <v>4</v>
      </c>
      <c r="J49" s="19">
        <v>0.35820000000000002</v>
      </c>
      <c r="K49" s="19">
        <v>0.9083</v>
      </c>
      <c r="L49" s="22">
        <v>6.0000000000000001E-3</v>
      </c>
      <c r="M49" s="19">
        <v>0.54359999999999997</v>
      </c>
      <c r="N49" s="19">
        <v>0.6149</v>
      </c>
      <c r="O49" s="19">
        <v>6.6299999999999998E-2</v>
      </c>
      <c r="P49" s="19">
        <v>0.78149999999999997</v>
      </c>
    </row>
    <row r="50" spans="1:16" ht="19" x14ac:dyDescent="0.2">
      <c r="B50" s="4" t="s">
        <v>9</v>
      </c>
      <c r="C50" s="4" t="s">
        <v>22</v>
      </c>
      <c r="D50" s="19">
        <v>-2.5569999999999999</v>
      </c>
      <c r="E50" s="25">
        <v>0.2999</v>
      </c>
      <c r="F50" s="19">
        <v>-4.3070000000000004</v>
      </c>
      <c r="G50" s="19">
        <v>4.0000000000000002E-4</v>
      </c>
      <c r="I50" s="13" t="s">
        <v>7</v>
      </c>
      <c r="J50" s="19">
        <v>0.30199999999999999</v>
      </c>
      <c r="K50" s="19">
        <v>0.12509999999999999</v>
      </c>
      <c r="L50" s="22">
        <v>5.7000000000000002E-3</v>
      </c>
      <c r="M50" s="19">
        <v>0.29799999999999999</v>
      </c>
      <c r="N50" s="19">
        <v>5.1299999999999998E-2</v>
      </c>
      <c r="O50" s="19">
        <v>0.1134</v>
      </c>
      <c r="P50" s="19">
        <v>0.73460000000000003</v>
      </c>
    </row>
    <row r="51" spans="1:16" ht="19" x14ac:dyDescent="0.2">
      <c r="B51" s="4"/>
      <c r="C51" s="4" t="s">
        <v>23</v>
      </c>
      <c r="D51" s="19">
        <v>-2.831</v>
      </c>
      <c r="E51" s="25">
        <v>0.18590000000000001</v>
      </c>
      <c r="F51" s="19">
        <v>-5.8140000000000001</v>
      </c>
      <c r="G51" s="19">
        <v>0</v>
      </c>
      <c r="I51" s="13" t="s">
        <v>3</v>
      </c>
      <c r="J51" s="19">
        <v>0.37209999999999999</v>
      </c>
      <c r="K51" s="19">
        <v>0.23250000000000001</v>
      </c>
      <c r="L51" s="19">
        <v>0.39450000000000002</v>
      </c>
      <c r="M51" s="19">
        <v>0.51219999999999999</v>
      </c>
      <c r="N51" s="19">
        <v>2.58E-2</v>
      </c>
      <c r="O51" s="19">
        <v>1.52E-2</v>
      </c>
      <c r="P51" s="19">
        <v>3.9699999999999999E-2</v>
      </c>
    </row>
    <row r="52" spans="1:16" ht="19" x14ac:dyDescent="0.2">
      <c r="I52" s="13" t="s">
        <v>6</v>
      </c>
      <c r="J52" s="19">
        <v>0.26879999999999998</v>
      </c>
      <c r="K52" s="19">
        <v>0.42280000000000001</v>
      </c>
      <c r="L52" s="19">
        <v>0.36859999999999998</v>
      </c>
      <c r="M52" s="19">
        <v>0.24440000000000001</v>
      </c>
      <c r="N52" s="19">
        <v>2.52E-2</v>
      </c>
      <c r="O52" s="19">
        <v>7.5200000000000003E-2</v>
      </c>
      <c r="P52" s="19">
        <v>0.98299999999999998</v>
      </c>
    </row>
    <row r="53" spans="1:16" ht="20" thickBot="1" x14ac:dyDescent="0.25">
      <c r="A53" s="35"/>
      <c r="B53" s="30"/>
      <c r="I53" s="13" t="s">
        <v>9</v>
      </c>
      <c r="J53" s="19">
        <v>0.2354</v>
      </c>
      <c r="K53" s="19">
        <v>0.61299999999999999</v>
      </c>
      <c r="L53" s="19">
        <v>0.27389999999999998</v>
      </c>
      <c r="M53" s="19">
        <v>0.16189999999999999</v>
      </c>
      <c r="N53" s="19">
        <v>3.1699999999999999E-2</v>
      </c>
      <c r="O53" s="19">
        <v>7.6799999999999993E-2</v>
      </c>
      <c r="P53" s="19">
        <v>4.9799999999999997E-2</v>
      </c>
    </row>
    <row r="54" spans="1:16" ht="20" thickBot="1" x14ac:dyDescent="0.25">
      <c r="B54" s="26"/>
      <c r="C54" s="26"/>
      <c r="D54" s="76" t="s">
        <v>36</v>
      </c>
      <c r="E54" s="76"/>
      <c r="F54" s="76" t="s">
        <v>56</v>
      </c>
      <c r="G54" s="76"/>
      <c r="H54" s="41"/>
    </row>
    <row r="55" spans="1:16" ht="19" x14ac:dyDescent="0.2">
      <c r="B55" s="26"/>
      <c r="C55" s="36"/>
      <c r="D55" s="26" t="s">
        <v>37</v>
      </c>
      <c r="E55" s="26" t="s">
        <v>38</v>
      </c>
      <c r="F55" s="37" t="s">
        <v>37</v>
      </c>
      <c r="G55" s="26" t="s">
        <v>38</v>
      </c>
      <c r="H55" s="40"/>
    </row>
    <row r="56" spans="1:16" ht="20" thickBot="1" x14ac:dyDescent="0.25">
      <c r="B56" s="77" t="s">
        <v>17</v>
      </c>
      <c r="C56" s="32" t="s">
        <v>21</v>
      </c>
      <c r="D56" s="56">
        <v>-2.8</v>
      </c>
      <c r="E56" s="56">
        <v>0.19700000000000001</v>
      </c>
      <c r="F56" s="56">
        <v>-3.5590000000000002</v>
      </c>
      <c r="G56" s="57">
        <v>6.6E-3</v>
      </c>
      <c r="H56" s="26"/>
      <c r="J56" s="76" t="s">
        <v>45</v>
      </c>
      <c r="K56" s="76"/>
      <c r="L56" s="76"/>
      <c r="M56" s="76"/>
      <c r="N56" s="76"/>
      <c r="O56" s="76"/>
      <c r="P56" s="76"/>
    </row>
    <row r="57" spans="1:16" ht="19" x14ac:dyDescent="0.2">
      <c r="B57" s="77"/>
      <c r="C57" s="27" t="s">
        <v>22</v>
      </c>
      <c r="D57" s="56">
        <v>-2.6890000000000001</v>
      </c>
      <c r="E57" s="56">
        <v>0.2407</v>
      </c>
      <c r="F57" s="56">
        <v>-4.43</v>
      </c>
      <c r="G57" s="57">
        <v>2.9999999999999997E-4</v>
      </c>
      <c r="H57" s="26"/>
      <c r="I57" s="15"/>
      <c r="J57" s="42" t="s">
        <v>31</v>
      </c>
      <c r="K57" s="42" t="s">
        <v>60</v>
      </c>
      <c r="L57" s="43" t="s">
        <v>43</v>
      </c>
      <c r="M57" s="42" t="s">
        <v>59</v>
      </c>
      <c r="N57" s="43" t="s">
        <v>34</v>
      </c>
      <c r="O57" s="43" t="s">
        <v>44</v>
      </c>
      <c r="P57" s="43" t="s">
        <v>35</v>
      </c>
    </row>
    <row r="58" spans="1:16" ht="20" customHeight="1" x14ac:dyDescent="0.2">
      <c r="B58" s="77"/>
      <c r="C58" s="27" t="s">
        <v>23</v>
      </c>
      <c r="D58" s="58">
        <v>-2.5089999999999999</v>
      </c>
      <c r="E58" s="59">
        <v>0.3236</v>
      </c>
      <c r="F58" s="60">
        <v>-4.633</v>
      </c>
      <c r="G58" s="61">
        <v>1E-4</v>
      </c>
      <c r="H58" s="26"/>
      <c r="I58" s="13" t="s">
        <v>17</v>
      </c>
      <c r="J58" s="33">
        <v>0.7772</v>
      </c>
      <c r="K58" s="33">
        <v>0.71719999999999995</v>
      </c>
      <c r="L58" s="33">
        <v>0.45119999999999999</v>
      </c>
      <c r="M58" s="33">
        <v>0.77400000000000002</v>
      </c>
      <c r="N58" s="33">
        <v>0.81630000000000003</v>
      </c>
      <c r="O58" s="33">
        <v>0.83730000000000004</v>
      </c>
      <c r="P58" s="33">
        <v>0.34689999999999999</v>
      </c>
    </row>
    <row r="59" spans="1:16" ht="19" x14ac:dyDescent="0.2">
      <c r="B59" s="67" t="s">
        <v>11</v>
      </c>
      <c r="C59" s="27" t="s">
        <v>21</v>
      </c>
      <c r="D59" s="56">
        <v>-2.504</v>
      </c>
      <c r="E59" s="62">
        <v>0.32590000000000002</v>
      </c>
      <c r="F59" s="38">
        <v>-3.653</v>
      </c>
      <c r="G59" s="63">
        <v>4.7999999999999996E-3</v>
      </c>
      <c r="H59" s="26"/>
      <c r="I59" s="13" t="s">
        <v>11</v>
      </c>
      <c r="J59" s="24">
        <v>0.33560000000000001</v>
      </c>
      <c r="K59" s="24">
        <v>3.1E-2</v>
      </c>
      <c r="L59" s="24">
        <v>0.95450000000000002</v>
      </c>
      <c r="M59" s="44">
        <v>4.5999999999999999E-3</v>
      </c>
      <c r="N59" s="24">
        <v>0.66569999999999996</v>
      </c>
      <c r="O59" s="24">
        <v>0.16450000000000001</v>
      </c>
      <c r="P59" s="24">
        <v>0.23669999999999999</v>
      </c>
    </row>
    <row r="60" spans="1:16" ht="19" x14ac:dyDescent="0.2">
      <c r="B60" s="67"/>
      <c r="C60" s="27" t="s">
        <v>22</v>
      </c>
      <c r="D60" s="56">
        <v>-1.5720000000000001</v>
      </c>
      <c r="E60" s="62">
        <v>0.80300000000000005</v>
      </c>
      <c r="F60" s="38">
        <v>-4.3109999999999999</v>
      </c>
      <c r="G60" s="63">
        <v>4.0000000000000002E-4</v>
      </c>
      <c r="H60" s="26"/>
      <c r="I60" s="13" t="s">
        <v>10</v>
      </c>
      <c r="J60" s="33">
        <v>0.95889999999999997</v>
      </c>
      <c r="K60" s="33">
        <v>0.29780000000000001</v>
      </c>
      <c r="L60" s="33">
        <v>0.1462</v>
      </c>
      <c r="M60" s="33">
        <v>0.20530000000000001</v>
      </c>
      <c r="N60" s="33">
        <v>0.22239999999999999</v>
      </c>
      <c r="O60" s="33">
        <v>0.46079999999999999</v>
      </c>
      <c r="P60" s="33">
        <v>0.44409999999999999</v>
      </c>
    </row>
    <row r="61" spans="1:16" ht="19" x14ac:dyDescent="0.2">
      <c r="B61" s="70"/>
      <c r="C61" s="27" t="s">
        <v>23</v>
      </c>
      <c r="D61" s="56">
        <v>-0.78800000000000003</v>
      </c>
      <c r="E61" s="62">
        <v>0.9667</v>
      </c>
      <c r="F61" s="38">
        <v>-3.56</v>
      </c>
      <c r="G61" s="63">
        <v>6.6E-3</v>
      </c>
      <c r="H61" s="26"/>
      <c r="I61" s="13" t="s">
        <v>9</v>
      </c>
      <c r="J61" s="24">
        <v>0.2354</v>
      </c>
      <c r="K61" s="24">
        <v>0.61299999999999999</v>
      </c>
      <c r="L61" s="24">
        <v>0.27389999999999998</v>
      </c>
      <c r="M61" s="24">
        <v>0.16189999999999999</v>
      </c>
      <c r="N61" s="24">
        <v>3.1699999999999999E-2</v>
      </c>
      <c r="O61" s="24">
        <v>7.6799999999999993E-2</v>
      </c>
      <c r="P61" s="45">
        <v>4.9799999999999997E-2</v>
      </c>
    </row>
    <row r="62" spans="1:16" ht="19" x14ac:dyDescent="0.2">
      <c r="B62" s="73" t="s">
        <v>10</v>
      </c>
      <c r="C62" s="23" t="s">
        <v>21</v>
      </c>
      <c r="D62" s="60">
        <v>-2.0129999999999999</v>
      </c>
      <c r="E62" s="63">
        <v>0.59419999999999995</v>
      </c>
      <c r="F62" s="38">
        <v>-3.7309999999999999</v>
      </c>
      <c r="G62" s="63">
        <v>3.7000000000000002E-3</v>
      </c>
      <c r="H62" s="26"/>
      <c r="I62" s="13" t="s">
        <v>41</v>
      </c>
      <c r="J62" s="24">
        <v>0.30059999999999998</v>
      </c>
      <c r="K62" s="24">
        <v>0.1178</v>
      </c>
      <c r="L62" s="24">
        <v>7.2900000000000006E-2</v>
      </c>
      <c r="M62" s="24">
        <v>0.23100000000000001</v>
      </c>
      <c r="N62" s="24">
        <v>2.0400000000000001E-2</v>
      </c>
      <c r="O62" s="38">
        <v>5.2699999999999997E-2</v>
      </c>
      <c r="P62" s="24">
        <v>0.5</v>
      </c>
    </row>
    <row r="63" spans="1:16" ht="19" x14ac:dyDescent="0.2">
      <c r="B63" s="74"/>
      <c r="C63" s="13" t="s">
        <v>22</v>
      </c>
      <c r="D63" s="38">
        <v>-1.6970000000000001</v>
      </c>
      <c r="E63" s="63">
        <v>0.75229999999999997</v>
      </c>
      <c r="F63" s="38">
        <v>-4.3650000000000002</v>
      </c>
      <c r="G63" s="63">
        <v>2.9999999999999997E-4</v>
      </c>
      <c r="H63" s="26"/>
      <c r="I63" s="13" t="s">
        <v>7</v>
      </c>
      <c r="J63" s="24">
        <v>0.30199999999999999</v>
      </c>
      <c r="K63" s="24">
        <v>0.12509999999999999</v>
      </c>
      <c r="L63" s="24">
        <v>5.7000000000000002E-3</v>
      </c>
      <c r="M63" s="24">
        <v>0.29799999999999999</v>
      </c>
      <c r="N63" s="19">
        <v>5.1299999999999998E-2</v>
      </c>
      <c r="O63" s="24">
        <v>0.1134</v>
      </c>
      <c r="P63" s="24">
        <v>0.73460000000000003</v>
      </c>
    </row>
    <row r="64" spans="1:16" ht="19" x14ac:dyDescent="0.2">
      <c r="B64" s="75"/>
      <c r="C64" s="13" t="s">
        <v>23</v>
      </c>
      <c r="D64" s="38">
        <v>-2.89</v>
      </c>
      <c r="E64" s="63">
        <v>0.16600000000000001</v>
      </c>
      <c r="F64" s="38">
        <v>-4.806</v>
      </c>
      <c r="G64" s="63">
        <v>1E-4</v>
      </c>
      <c r="H64" s="26"/>
      <c r="I64" s="13" t="s">
        <v>6</v>
      </c>
      <c r="J64" s="24">
        <v>0.26879999999999998</v>
      </c>
      <c r="K64" s="24">
        <v>0.42280000000000001</v>
      </c>
      <c r="L64" s="24">
        <v>0.36859999999999998</v>
      </c>
      <c r="M64" s="24">
        <v>0.24440000000000001</v>
      </c>
      <c r="N64" s="24">
        <v>2.52E-2</v>
      </c>
      <c r="O64" s="24">
        <v>7.5200000000000003E-2</v>
      </c>
      <c r="P64" s="24">
        <v>0.98299999999999998</v>
      </c>
    </row>
    <row r="65" spans="2:16" ht="19" x14ac:dyDescent="0.2">
      <c r="B65" s="73" t="s">
        <v>9</v>
      </c>
      <c r="C65" s="13" t="s">
        <v>21</v>
      </c>
      <c r="D65" s="38">
        <v>-3.22</v>
      </c>
      <c r="E65" s="63">
        <v>8.0600000000000005E-2</v>
      </c>
      <c r="F65" s="38">
        <v>-5.202</v>
      </c>
      <c r="G65" s="63">
        <v>0</v>
      </c>
      <c r="H65" s="26"/>
      <c r="I65" s="13" t="s">
        <v>2</v>
      </c>
      <c r="J65" s="24">
        <v>0.52270000000000005</v>
      </c>
      <c r="K65" s="24">
        <v>0.71150000000000002</v>
      </c>
      <c r="L65" s="24">
        <v>0.44819999999999999</v>
      </c>
      <c r="M65" s="24">
        <v>0.16270000000000001</v>
      </c>
      <c r="N65" s="24">
        <v>9.2999999999999992E-3</v>
      </c>
      <c r="O65" s="24">
        <v>3.0599999999999999E-2</v>
      </c>
      <c r="P65" s="24">
        <v>9.7000000000000003E-2</v>
      </c>
    </row>
    <row r="66" spans="2:16" ht="19" x14ac:dyDescent="0.2">
      <c r="B66" s="74"/>
      <c r="C66" s="13" t="s">
        <v>22</v>
      </c>
      <c r="D66" s="38">
        <v>-2.5569999999999999</v>
      </c>
      <c r="E66" s="63">
        <v>0.2999</v>
      </c>
      <c r="F66" s="38">
        <v>-4.3070000000000004</v>
      </c>
      <c r="G66" s="63">
        <v>4.0000000000000002E-4</v>
      </c>
      <c r="H66" s="26"/>
      <c r="I66" s="13" t="s">
        <v>3</v>
      </c>
      <c r="J66" s="24">
        <v>0.37209999999999999</v>
      </c>
      <c r="K66" s="24">
        <v>0.23250000000000001</v>
      </c>
      <c r="L66" s="24">
        <v>0.39450000000000002</v>
      </c>
      <c r="M66" s="24">
        <v>0.51219999999999999</v>
      </c>
      <c r="N66" s="24">
        <v>2.58E-2</v>
      </c>
      <c r="O66" s="24">
        <v>1.52E-2</v>
      </c>
      <c r="P66" s="24">
        <v>3.9699999999999999E-2</v>
      </c>
    </row>
    <row r="67" spans="2:16" ht="19" x14ac:dyDescent="0.2">
      <c r="B67" s="75"/>
      <c r="C67" s="13" t="s">
        <v>23</v>
      </c>
      <c r="D67" s="38">
        <v>-2.831</v>
      </c>
      <c r="E67" s="63">
        <v>0.18590000000000001</v>
      </c>
      <c r="F67" s="38">
        <v>-5.8140000000000001</v>
      </c>
      <c r="G67" s="63">
        <v>0</v>
      </c>
      <c r="H67" s="26"/>
      <c r="I67" s="13" t="s">
        <v>5</v>
      </c>
      <c r="J67" s="24">
        <v>6.7500000000000004E-2</v>
      </c>
      <c r="K67" s="24">
        <v>0.98170000000000002</v>
      </c>
      <c r="L67" s="24">
        <v>0.13350000000000001</v>
      </c>
      <c r="M67" s="24">
        <v>0.36059999999999998</v>
      </c>
      <c r="N67" s="24">
        <v>0.749</v>
      </c>
      <c r="O67" s="24">
        <v>0.75780000000000003</v>
      </c>
      <c r="P67" s="24">
        <v>0.78669999999999995</v>
      </c>
    </row>
    <row r="68" spans="2:16" ht="19" x14ac:dyDescent="0.2">
      <c r="B68" s="73" t="s">
        <v>8</v>
      </c>
      <c r="C68" s="13" t="s">
        <v>21</v>
      </c>
      <c r="D68" s="38">
        <v>-3.4849999999999999</v>
      </c>
      <c r="E68" s="63">
        <v>4.1099999999999998E-2</v>
      </c>
      <c r="F68" s="38">
        <v>-5.7320000000000002</v>
      </c>
      <c r="G68" s="63">
        <v>0</v>
      </c>
      <c r="H68" s="26"/>
      <c r="I68" s="13" t="s">
        <v>4</v>
      </c>
      <c r="J68" s="24">
        <v>0.35820000000000002</v>
      </c>
      <c r="K68" s="24">
        <v>0.9083</v>
      </c>
      <c r="L68" s="24">
        <v>6.0000000000000001E-3</v>
      </c>
      <c r="M68" s="24">
        <v>0.54359999999999997</v>
      </c>
      <c r="N68" s="24">
        <v>0.6149</v>
      </c>
      <c r="O68" s="24">
        <v>6.6299999999999998E-2</v>
      </c>
      <c r="P68" s="24">
        <v>0.78149999999999997</v>
      </c>
    </row>
    <row r="69" spans="2:16" ht="19" x14ac:dyDescent="0.2">
      <c r="B69" s="74"/>
      <c r="C69" s="13" t="s">
        <v>22</v>
      </c>
      <c r="D69" s="38">
        <v>-1.145</v>
      </c>
      <c r="E69" s="63">
        <v>0.92120000000000002</v>
      </c>
      <c r="F69" s="38">
        <v>-4.5289999999999999</v>
      </c>
      <c r="G69" s="63">
        <v>2.0000000000000001E-4</v>
      </c>
      <c r="H69" s="26"/>
    </row>
    <row r="70" spans="2:16" ht="19" x14ac:dyDescent="0.2">
      <c r="B70" s="75"/>
      <c r="C70" s="13" t="s">
        <v>23</v>
      </c>
      <c r="D70" s="38">
        <v>-1.143</v>
      </c>
      <c r="E70" s="63">
        <v>0.92149999999999999</v>
      </c>
      <c r="F70" s="38">
        <v>-4.3570000000000002</v>
      </c>
      <c r="G70" s="63">
        <v>4.0000000000000002E-4</v>
      </c>
      <c r="H70" s="26"/>
    </row>
    <row r="71" spans="2:16" ht="19" x14ac:dyDescent="0.2">
      <c r="B71" s="73" t="s">
        <v>7</v>
      </c>
      <c r="C71" s="13" t="s">
        <v>21</v>
      </c>
      <c r="D71" s="38">
        <v>-2.9580000000000002</v>
      </c>
      <c r="E71" s="63">
        <v>0.14419999999999999</v>
      </c>
      <c r="F71" s="38">
        <v>-2.8069999999999999</v>
      </c>
      <c r="G71" s="63">
        <v>5.7200000000000001E-2</v>
      </c>
      <c r="H71" s="26"/>
    </row>
    <row r="72" spans="2:16" ht="19" x14ac:dyDescent="0.2">
      <c r="B72" s="74"/>
      <c r="C72" s="13" t="s">
        <v>22</v>
      </c>
      <c r="D72" s="38">
        <v>-2.5329999999999999</v>
      </c>
      <c r="E72" s="63">
        <v>0.31169999999999998</v>
      </c>
      <c r="F72" s="38">
        <v>-5.2309999999999999</v>
      </c>
      <c r="G72" s="63">
        <v>0</v>
      </c>
      <c r="H72" s="26"/>
    </row>
    <row r="73" spans="2:16" ht="19" x14ac:dyDescent="0.2">
      <c r="B73" s="75"/>
      <c r="C73" s="13" t="s">
        <v>23</v>
      </c>
      <c r="D73" s="38">
        <v>-2.871</v>
      </c>
      <c r="E73" s="63">
        <v>0.17219999999999999</v>
      </c>
      <c r="F73" s="38">
        <v>-5.3579999999999997</v>
      </c>
      <c r="G73" s="63">
        <v>0</v>
      </c>
      <c r="H73" s="26"/>
      <c r="J73" s="46"/>
      <c r="K73" s="46"/>
    </row>
    <row r="74" spans="2:16" ht="19" x14ac:dyDescent="0.2">
      <c r="B74" s="73" t="s">
        <v>6</v>
      </c>
      <c r="C74" s="13" t="s">
        <v>21</v>
      </c>
      <c r="D74" s="38">
        <v>-3.4129999999999998</v>
      </c>
      <c r="E74" s="63">
        <v>4.9599999999999998E-2</v>
      </c>
      <c r="F74" s="38">
        <v>-2.9470000000000001</v>
      </c>
      <c r="G74" s="63">
        <v>4.0099999999999997E-2</v>
      </c>
      <c r="H74" s="26"/>
      <c r="J74" s="46"/>
      <c r="K74" s="46"/>
    </row>
    <row r="75" spans="2:16" ht="19" x14ac:dyDescent="0.2">
      <c r="B75" s="74"/>
      <c r="C75" s="13" t="s">
        <v>22</v>
      </c>
      <c r="D75" s="38">
        <v>-1.988</v>
      </c>
      <c r="E75" s="63">
        <v>0.6079</v>
      </c>
      <c r="F75" s="38">
        <v>-4.7380000000000004</v>
      </c>
      <c r="G75" s="63">
        <v>1E-4</v>
      </c>
      <c r="H75" s="26"/>
      <c r="J75" s="46"/>
      <c r="K75" s="46"/>
    </row>
    <row r="76" spans="2:16" ht="19" x14ac:dyDescent="0.2">
      <c r="B76" s="75"/>
      <c r="C76" s="13" t="s">
        <v>23</v>
      </c>
      <c r="D76" s="38">
        <v>-0.76600000000000001</v>
      </c>
      <c r="E76" s="63">
        <v>0.96840000000000004</v>
      </c>
      <c r="F76" s="38">
        <v>-3.3380000000000001</v>
      </c>
      <c r="G76" s="63">
        <v>1.3299999999999999E-2</v>
      </c>
      <c r="H76" s="26"/>
      <c r="J76" s="46"/>
      <c r="K76" s="46"/>
    </row>
    <row r="77" spans="2:16" ht="19" x14ac:dyDescent="0.2">
      <c r="B77" s="73" t="s">
        <v>2</v>
      </c>
      <c r="C77" s="13" t="s">
        <v>21</v>
      </c>
      <c r="D77" s="38">
        <v>-1.885</v>
      </c>
      <c r="E77" s="63">
        <v>0.66239999999999999</v>
      </c>
      <c r="F77" s="38">
        <v>-4.141</v>
      </c>
      <c r="G77" s="63">
        <v>8.0000000000000004E-4</v>
      </c>
      <c r="H77" s="26"/>
      <c r="J77" s="46"/>
      <c r="K77" s="46"/>
    </row>
    <row r="78" spans="2:16" ht="19" x14ac:dyDescent="0.2">
      <c r="B78" s="74"/>
      <c r="C78" s="13" t="s">
        <v>22</v>
      </c>
      <c r="D78" s="38">
        <v>-2.9929999999999999</v>
      </c>
      <c r="E78" s="63">
        <v>0.13400000000000001</v>
      </c>
      <c r="F78" s="38">
        <v>-4.7450000000000001</v>
      </c>
      <c r="G78" s="63">
        <v>1E-4</v>
      </c>
      <c r="H78" s="26"/>
      <c r="J78" s="46"/>
      <c r="K78" s="46"/>
    </row>
    <row r="79" spans="2:16" ht="19" x14ac:dyDescent="0.2">
      <c r="B79" s="75"/>
      <c r="C79" s="13" t="s">
        <v>23</v>
      </c>
      <c r="D79" s="38">
        <v>-2.46</v>
      </c>
      <c r="E79" s="63">
        <v>0.3483</v>
      </c>
      <c r="F79" s="38">
        <v>-5.54</v>
      </c>
      <c r="G79" s="63">
        <v>0</v>
      </c>
      <c r="H79" s="26"/>
      <c r="J79" s="46"/>
      <c r="K79" s="46"/>
    </row>
    <row r="80" spans="2:16" ht="19" x14ac:dyDescent="0.2">
      <c r="B80" s="73" t="s">
        <v>3</v>
      </c>
      <c r="C80" s="13" t="s">
        <v>21</v>
      </c>
      <c r="D80" s="38">
        <v>-2.4550000000000001</v>
      </c>
      <c r="E80" s="63">
        <v>0.3508</v>
      </c>
      <c r="F80" s="38">
        <v>-4.5229999999999997</v>
      </c>
      <c r="G80" s="63">
        <v>2.0000000000000001E-4</v>
      </c>
      <c r="H80" s="26"/>
      <c r="J80" s="46"/>
      <c r="K80" s="46"/>
    </row>
    <row r="81" spans="2:11" ht="19" x14ac:dyDescent="0.2">
      <c r="B81" s="74"/>
      <c r="C81" s="13" t="s">
        <v>22</v>
      </c>
      <c r="D81" s="38">
        <v>-2.9929999999999999</v>
      </c>
      <c r="E81" s="63">
        <v>0.13420000000000001</v>
      </c>
      <c r="F81" s="38">
        <v>-3.9889999999999999</v>
      </c>
      <c r="G81" s="63">
        <v>1.5E-3</v>
      </c>
      <c r="H81" s="26"/>
      <c r="J81" s="46"/>
      <c r="K81" s="46"/>
    </row>
    <row r="82" spans="2:11" ht="19" x14ac:dyDescent="0.2">
      <c r="B82" s="75"/>
      <c r="C82" s="13" t="s">
        <v>23</v>
      </c>
      <c r="D82" s="38">
        <v>-2.1909999999999998</v>
      </c>
      <c r="E82" s="63">
        <v>0.49459999999999998</v>
      </c>
      <c r="F82" s="38">
        <v>-6.1440000000000001</v>
      </c>
      <c r="G82" s="63">
        <v>0</v>
      </c>
      <c r="H82" s="26"/>
      <c r="J82" s="46"/>
      <c r="K82" s="46"/>
    </row>
    <row r="83" spans="2:11" ht="19" x14ac:dyDescent="0.2">
      <c r="B83" s="73" t="s">
        <v>5</v>
      </c>
      <c r="C83" s="13" t="s">
        <v>21</v>
      </c>
      <c r="D83" s="38">
        <v>-3.206</v>
      </c>
      <c r="E83" s="63">
        <v>8.3199999999999996E-2</v>
      </c>
      <c r="F83" s="38">
        <v>-2.94</v>
      </c>
      <c r="G83" s="63">
        <v>4.0899999999999999E-2</v>
      </c>
      <c r="H83" s="26"/>
      <c r="J83" s="46"/>
      <c r="K83" s="46"/>
    </row>
    <row r="84" spans="2:11" ht="20" thickBot="1" x14ac:dyDescent="0.25">
      <c r="B84" s="74"/>
      <c r="C84" s="13" t="s">
        <v>22</v>
      </c>
      <c r="D84" s="38">
        <v>-2.5619999999999998</v>
      </c>
      <c r="E84" s="63">
        <v>0.29749999999999999</v>
      </c>
      <c r="F84" s="38">
        <v>-4.4240000000000004</v>
      </c>
      <c r="G84" s="63">
        <v>2.9999999999999997E-4</v>
      </c>
      <c r="H84" s="26"/>
      <c r="J84" s="39"/>
      <c r="K84" s="31" t="s">
        <v>61</v>
      </c>
    </row>
    <row r="85" spans="2:11" ht="20" thickBot="1" x14ac:dyDescent="0.25">
      <c r="B85" s="75"/>
      <c r="C85" s="13" t="s">
        <v>23</v>
      </c>
      <c r="D85" s="38">
        <v>-1.837</v>
      </c>
      <c r="E85" s="63">
        <v>0.68659999999999999</v>
      </c>
      <c r="F85" s="38">
        <v>-4.5570000000000004</v>
      </c>
      <c r="G85" s="63">
        <v>2.0000000000000001E-4</v>
      </c>
      <c r="H85" s="26"/>
      <c r="J85" s="39"/>
      <c r="K85" s="49" t="s">
        <v>37</v>
      </c>
    </row>
    <row r="86" spans="2:11" ht="19" x14ac:dyDescent="0.2">
      <c r="B86" s="73" t="s">
        <v>4</v>
      </c>
      <c r="C86" s="13" t="s">
        <v>21</v>
      </c>
      <c r="D86" s="38">
        <v>-3.2970000000000002</v>
      </c>
      <c r="E86" s="63">
        <v>6.6699999999999995E-2</v>
      </c>
      <c r="F86" s="38">
        <v>-2.3809999999999998</v>
      </c>
      <c r="G86" s="63">
        <v>0.14729999999999999</v>
      </c>
      <c r="H86" s="26"/>
      <c r="J86" s="4" t="s">
        <v>17</v>
      </c>
      <c r="K86" s="48">
        <v>-4.5999999999999996</v>
      </c>
    </row>
    <row r="87" spans="2:11" ht="19" x14ac:dyDescent="0.2">
      <c r="B87" s="74"/>
      <c r="C87" s="13" t="s">
        <v>22</v>
      </c>
      <c r="D87" s="38">
        <v>-2.0939999999999999</v>
      </c>
      <c r="E87" s="63">
        <v>0.54959999999999998</v>
      </c>
      <c r="F87" s="38">
        <v>-4.633</v>
      </c>
      <c r="G87" s="63">
        <v>1E-4</v>
      </c>
      <c r="H87" s="26"/>
      <c r="J87" s="4" t="s">
        <v>11</v>
      </c>
      <c r="K87" s="47">
        <v>-4.2</v>
      </c>
    </row>
    <row r="88" spans="2:11" ht="19" x14ac:dyDescent="0.2">
      <c r="B88" s="75"/>
      <c r="C88" s="13" t="s">
        <v>23</v>
      </c>
      <c r="D88" s="38">
        <v>-2.91</v>
      </c>
      <c r="E88" s="63">
        <v>0.15909999999999999</v>
      </c>
      <c r="F88" s="38">
        <v>-6.4889999999999999</v>
      </c>
      <c r="G88" s="63">
        <v>0</v>
      </c>
      <c r="H88" s="26"/>
      <c r="J88" s="4" t="s">
        <v>10</v>
      </c>
      <c r="K88" s="47">
        <v>-4.0199999999999996</v>
      </c>
    </row>
    <row r="89" spans="2:11" ht="16" customHeight="1" x14ac:dyDescent="0.2">
      <c r="B89" s="3" t="s">
        <v>57</v>
      </c>
      <c r="J89" s="4" t="s">
        <v>9</v>
      </c>
      <c r="K89" s="47">
        <v>-2.91</v>
      </c>
    </row>
    <row r="90" spans="2:11" x14ac:dyDescent="0.2">
      <c r="J90" s="4" t="s">
        <v>41</v>
      </c>
      <c r="K90" s="47">
        <v>-2.98</v>
      </c>
    </row>
    <row r="91" spans="2:11" x14ac:dyDescent="0.2">
      <c r="J91" s="4" t="s">
        <v>7</v>
      </c>
      <c r="K91" s="47">
        <v>-5.31</v>
      </c>
    </row>
    <row r="92" spans="2:11" x14ac:dyDescent="0.2">
      <c r="J92" s="4" t="s">
        <v>6</v>
      </c>
      <c r="K92" s="47">
        <v>-4.01</v>
      </c>
    </row>
    <row r="93" spans="2:11" x14ac:dyDescent="0.2">
      <c r="J93" s="4" t="s">
        <v>2</v>
      </c>
      <c r="K93" s="47">
        <v>-4.09</v>
      </c>
    </row>
    <row r="94" spans="2:11" x14ac:dyDescent="0.2">
      <c r="J94" s="4" t="s">
        <v>3</v>
      </c>
      <c r="K94" s="47">
        <v>-3.86</v>
      </c>
    </row>
    <row r="95" spans="2:11" x14ac:dyDescent="0.2">
      <c r="J95" s="4" t="s">
        <v>5</v>
      </c>
      <c r="K95" s="47">
        <v>-4.41</v>
      </c>
    </row>
    <row r="96" spans="2:11" x14ac:dyDescent="0.2">
      <c r="J96" s="4" t="s">
        <v>4</v>
      </c>
      <c r="K96" s="47">
        <v>-3.35</v>
      </c>
    </row>
    <row r="99" spans="6:12" ht="20" thickBot="1" x14ac:dyDescent="0.25">
      <c r="J99" s="39"/>
      <c r="K99" s="50" t="s">
        <v>72</v>
      </c>
    </row>
    <row r="100" spans="6:12" ht="20" thickBot="1" x14ac:dyDescent="0.25">
      <c r="J100" s="39"/>
      <c r="K100" s="49" t="s">
        <v>74</v>
      </c>
      <c r="L100" s="3" t="s">
        <v>73</v>
      </c>
    </row>
    <row r="101" spans="6:12" x14ac:dyDescent="0.2">
      <c r="J101" s="4" t="s">
        <v>17</v>
      </c>
      <c r="K101" s="48">
        <v>0.1043</v>
      </c>
      <c r="L101" s="3">
        <v>2.64</v>
      </c>
    </row>
    <row r="102" spans="6:12" x14ac:dyDescent="0.2">
      <c r="J102" s="4" t="s">
        <v>11</v>
      </c>
      <c r="K102" s="47">
        <v>0.54979999999999996</v>
      </c>
      <c r="L102" s="3">
        <v>0.36</v>
      </c>
    </row>
    <row r="103" spans="6:12" x14ac:dyDescent="0.2">
      <c r="J103" s="4" t="s">
        <v>10</v>
      </c>
      <c r="K103" s="3">
        <v>0.21820000000000001</v>
      </c>
      <c r="L103" s="3">
        <v>1.52</v>
      </c>
    </row>
    <row r="104" spans="6:12" x14ac:dyDescent="0.2">
      <c r="J104" s="4" t="s">
        <v>9</v>
      </c>
      <c r="K104" s="47">
        <v>0.41339999999999999</v>
      </c>
      <c r="L104" s="3">
        <v>0.67</v>
      </c>
    </row>
    <row r="105" spans="6:12" ht="17" thickBot="1" x14ac:dyDescent="0.25">
      <c r="F105" s="64">
        <v>0.72619999999999996</v>
      </c>
      <c r="H105" s="64">
        <v>0.72619999999999996</v>
      </c>
      <c r="J105" s="4" t="s">
        <v>41</v>
      </c>
      <c r="K105" s="47">
        <v>0.19520000000000001</v>
      </c>
      <c r="L105" s="3">
        <v>1.68</v>
      </c>
    </row>
    <row r="106" spans="6:12" ht="19" thickBot="1" x14ac:dyDescent="0.25">
      <c r="F106" s="64">
        <v>2.7900000000000001E-2</v>
      </c>
      <c r="H106" s="64">
        <v>2.7900000000000001E-2</v>
      </c>
      <c r="J106" s="4" t="s">
        <v>7</v>
      </c>
      <c r="K106" s="47">
        <v>0.96030000000000004</v>
      </c>
      <c r="L106" s="3">
        <v>0</v>
      </c>
    </row>
    <row r="107" spans="6:12" ht="17" thickBot="1" x14ac:dyDescent="0.25">
      <c r="F107" s="64">
        <v>0.18840000000000001</v>
      </c>
      <c r="H107" s="64">
        <v>0.18840000000000001</v>
      </c>
      <c r="J107" s="4" t="s">
        <v>6</v>
      </c>
      <c r="K107" s="47">
        <v>0.26419999999999999</v>
      </c>
      <c r="L107" s="3">
        <v>1.25</v>
      </c>
    </row>
    <row r="108" spans="6:12" ht="19" thickBot="1" x14ac:dyDescent="0.25">
      <c r="F108" s="64">
        <v>6.0600000000000001E-2</v>
      </c>
      <c r="H108" s="64">
        <v>6.0600000000000001E-2</v>
      </c>
      <c r="J108" s="4" t="s">
        <v>2</v>
      </c>
      <c r="K108" s="47">
        <v>0.3261</v>
      </c>
      <c r="L108" s="3">
        <v>0.96</v>
      </c>
    </row>
    <row r="109" spans="6:12" ht="17" thickBot="1" x14ac:dyDescent="0.25">
      <c r="F109" s="64">
        <v>6.5299999999999997E-2</v>
      </c>
      <c r="H109" s="64">
        <v>6.5299999999999997E-2</v>
      </c>
      <c r="J109" s="4" t="s">
        <v>3</v>
      </c>
      <c r="K109" s="47">
        <v>0.86160000000000003</v>
      </c>
      <c r="L109" s="3">
        <v>0.03</v>
      </c>
    </row>
    <row r="110" spans="6:12" ht="19" thickBot="1" x14ac:dyDescent="0.25">
      <c r="F110" s="64">
        <v>6.2100000000000002E-2</v>
      </c>
      <c r="H110" s="64">
        <v>6.2100000000000002E-2</v>
      </c>
      <c r="J110" s="4" t="s">
        <v>5</v>
      </c>
      <c r="K110" s="47">
        <v>0.96199999999999997</v>
      </c>
      <c r="L110" s="3">
        <v>0</v>
      </c>
    </row>
    <row r="111" spans="6:12" ht="17" thickBot="1" x14ac:dyDescent="0.25">
      <c r="F111" s="64">
        <v>0.44579999999999997</v>
      </c>
      <c r="H111" s="64">
        <v>0.44579999999999997</v>
      </c>
      <c r="J111" s="4" t="s">
        <v>4</v>
      </c>
      <c r="K111" s="47">
        <v>0.2112</v>
      </c>
      <c r="L111" s="3">
        <v>1.56</v>
      </c>
    </row>
    <row r="112" spans="6:12" ht="17" thickBot="1" x14ac:dyDescent="0.25">
      <c r="F112" s="64">
        <v>0.48209999999999997</v>
      </c>
      <c r="H112" s="64">
        <v>0.48209999999999997</v>
      </c>
    </row>
    <row r="113" spans="6:12" ht="17" thickBot="1" x14ac:dyDescent="0.25">
      <c r="F113" s="64">
        <v>0.1769</v>
      </c>
      <c r="H113" s="64">
        <v>0.1769</v>
      </c>
    </row>
    <row r="114" spans="6:12" ht="19" thickBot="1" x14ac:dyDescent="0.25">
      <c r="F114" s="64">
        <v>3.85E-2</v>
      </c>
      <c r="H114" s="64">
        <v>3.85E-2</v>
      </c>
    </row>
    <row r="115" spans="6:12" ht="20" thickBot="1" x14ac:dyDescent="0.25">
      <c r="F115" s="64">
        <v>4.4900000000000002E-2</v>
      </c>
      <c r="H115" s="64">
        <v>4.4900000000000002E-2</v>
      </c>
      <c r="J115" s="39"/>
      <c r="K115" s="50" t="s">
        <v>75</v>
      </c>
    </row>
    <row r="116" spans="6:12" ht="20" thickBot="1" x14ac:dyDescent="0.25">
      <c r="J116" s="39"/>
      <c r="K116" s="49" t="s">
        <v>74</v>
      </c>
      <c r="L116" s="3" t="s">
        <v>73</v>
      </c>
    </row>
    <row r="117" spans="6:12" x14ac:dyDescent="0.2">
      <c r="J117" s="4" t="s">
        <v>17</v>
      </c>
      <c r="K117" s="54">
        <v>0.72619999999999996</v>
      </c>
      <c r="L117" s="3">
        <v>6.1360000000000001</v>
      </c>
    </row>
    <row r="118" spans="6:12" x14ac:dyDescent="0.2">
      <c r="J118" s="4" t="s">
        <v>11</v>
      </c>
      <c r="K118" s="47">
        <v>2.7900000000000001E-2</v>
      </c>
      <c r="L118" s="3">
        <v>18.7</v>
      </c>
    </row>
    <row r="119" spans="6:12" x14ac:dyDescent="0.2">
      <c r="J119" s="4" t="s">
        <v>10</v>
      </c>
      <c r="K119" s="47">
        <v>0.18840000000000001</v>
      </c>
      <c r="L119" s="3">
        <v>12.464</v>
      </c>
    </row>
    <row r="120" spans="6:12" x14ac:dyDescent="0.2">
      <c r="J120" s="4" t="s">
        <v>9</v>
      </c>
      <c r="K120" s="47">
        <v>6.0600000000000001E-2</v>
      </c>
      <c r="L120" s="3">
        <v>16.315000000000001</v>
      </c>
    </row>
    <row r="121" spans="6:12" x14ac:dyDescent="0.2">
      <c r="J121" s="4" t="s">
        <v>41</v>
      </c>
      <c r="K121" s="47">
        <v>6.5299999999999997E-2</v>
      </c>
      <c r="L121" s="3">
        <v>16.076000000000001</v>
      </c>
    </row>
    <row r="122" spans="6:12" x14ac:dyDescent="0.2">
      <c r="J122" s="4" t="s">
        <v>7</v>
      </c>
      <c r="K122" s="47">
        <v>6.2100000000000002E-2</v>
      </c>
      <c r="L122" s="3">
        <v>16.238</v>
      </c>
    </row>
    <row r="123" spans="6:12" x14ac:dyDescent="0.2">
      <c r="J123" s="4" t="s">
        <v>6</v>
      </c>
      <c r="K123" s="47">
        <v>0.44579999999999997</v>
      </c>
      <c r="L123" s="3">
        <v>8.9079999999999995</v>
      </c>
    </row>
    <row r="124" spans="6:12" x14ac:dyDescent="0.2">
      <c r="J124" s="4" t="s">
        <v>2</v>
      </c>
      <c r="K124" s="47">
        <v>0.48209999999999997</v>
      </c>
      <c r="L124" s="3">
        <v>8.5259999999999998</v>
      </c>
    </row>
    <row r="125" spans="6:12" x14ac:dyDescent="0.2">
      <c r="J125" s="4" t="s">
        <v>3</v>
      </c>
      <c r="K125" s="47">
        <v>0.1769</v>
      </c>
      <c r="L125" s="3">
        <v>12.696</v>
      </c>
    </row>
    <row r="126" spans="6:12" x14ac:dyDescent="0.2">
      <c r="J126" s="4" t="s">
        <v>5</v>
      </c>
      <c r="K126" s="47">
        <v>3.85E-2</v>
      </c>
      <c r="L126" s="3">
        <v>17.724</v>
      </c>
    </row>
    <row r="127" spans="6:12" x14ac:dyDescent="0.2">
      <c r="J127" s="4" t="s">
        <v>4</v>
      </c>
      <c r="K127" s="47">
        <v>4.4900000000000002E-2</v>
      </c>
      <c r="L127" s="3">
        <v>17.251000000000001</v>
      </c>
    </row>
    <row r="130" spans="10:12" ht="20" thickBot="1" x14ac:dyDescent="0.25">
      <c r="J130" s="39"/>
      <c r="K130" s="50" t="s">
        <v>76</v>
      </c>
    </row>
    <row r="131" spans="10:12" ht="20" thickBot="1" x14ac:dyDescent="0.25">
      <c r="J131" s="39"/>
      <c r="K131" s="49" t="s">
        <v>77</v>
      </c>
      <c r="L131" s="3" t="s">
        <v>21</v>
      </c>
    </row>
    <row r="132" spans="10:12" x14ac:dyDescent="0.2">
      <c r="J132" s="4" t="s">
        <v>17</v>
      </c>
      <c r="K132" s="54">
        <v>-0.1302307</v>
      </c>
    </row>
    <row r="133" spans="10:12" x14ac:dyDescent="0.2">
      <c r="J133" s="4" t="s">
        <v>11</v>
      </c>
      <c r="K133" s="47">
        <v>-0.24392649999999999</v>
      </c>
    </row>
    <row r="134" spans="10:12" x14ac:dyDescent="0.2">
      <c r="J134" s="4" t="s">
        <v>10</v>
      </c>
      <c r="K134" s="55">
        <v>-0.2138922</v>
      </c>
    </row>
    <row r="135" spans="10:12" x14ac:dyDescent="0.2">
      <c r="J135" s="4" t="s">
        <v>9</v>
      </c>
      <c r="K135" s="47">
        <v>0.55324079999999998</v>
      </c>
      <c r="L135" s="3">
        <v>-11.98335</v>
      </c>
    </row>
    <row r="136" spans="10:12" x14ac:dyDescent="0.2">
      <c r="J136" s="4" t="s">
        <v>41</v>
      </c>
      <c r="K136" s="47">
        <v>2.0855410000000001</v>
      </c>
      <c r="L136" s="3">
        <v>-43.987879999999997</v>
      </c>
    </row>
    <row r="137" spans="10:12" x14ac:dyDescent="0.2">
      <c r="J137" s="4" t="s">
        <v>7</v>
      </c>
      <c r="K137" s="47">
        <v>0.1903687</v>
      </c>
      <c r="L137" s="3">
        <v>-3.8972359999999999</v>
      </c>
    </row>
    <row r="138" spans="10:12" x14ac:dyDescent="0.2">
      <c r="J138" s="4" t="s">
        <v>6</v>
      </c>
      <c r="K138" s="47">
        <v>-0.11912349999999999</v>
      </c>
    </row>
    <row r="139" spans="10:12" x14ac:dyDescent="0.2">
      <c r="J139" s="4" t="s">
        <v>2</v>
      </c>
      <c r="K139" s="47">
        <v>-0.41026780000000002</v>
      </c>
    </row>
    <row r="140" spans="10:12" x14ac:dyDescent="0.2">
      <c r="J140" s="4" t="s">
        <v>3</v>
      </c>
      <c r="K140" s="47">
        <v>0.25622420000000001</v>
      </c>
      <c r="L140" s="3">
        <v>-3.7089840000000001</v>
      </c>
    </row>
    <row r="141" spans="10:12" x14ac:dyDescent="0.2">
      <c r="J141" s="4" t="s">
        <v>5</v>
      </c>
      <c r="K141" s="47">
        <v>-0.56977239999999996</v>
      </c>
    </row>
    <row r="142" spans="10:12" x14ac:dyDescent="0.2">
      <c r="J142" s="4" t="s">
        <v>4</v>
      </c>
      <c r="K142" s="47">
        <v>-0.78646079999999996</v>
      </c>
    </row>
  </sheetData>
  <mergeCells count="23">
    <mergeCell ref="J41:P41"/>
    <mergeCell ref="B77:B79"/>
    <mergeCell ref="B80:B82"/>
    <mergeCell ref="B83:B85"/>
    <mergeCell ref="B86:B88"/>
    <mergeCell ref="B62:B64"/>
    <mergeCell ref="B65:B67"/>
    <mergeCell ref="B68:B70"/>
    <mergeCell ref="B71:B73"/>
    <mergeCell ref="B74:B76"/>
    <mergeCell ref="D54:E54"/>
    <mergeCell ref="B56:B58"/>
    <mergeCell ref="B59:B61"/>
    <mergeCell ref="F54:G54"/>
    <mergeCell ref="J56:P56"/>
    <mergeCell ref="O18:P18"/>
    <mergeCell ref="F1:G1"/>
    <mergeCell ref="C1:E1"/>
    <mergeCell ref="H1:O1"/>
    <mergeCell ref="C16:J16"/>
    <mergeCell ref="D17:E17"/>
    <mergeCell ref="F17:G17"/>
    <mergeCell ref="J17:L17"/>
  </mergeCells>
  <phoneticPr fontId="5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Sources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Heidari, Sima</cp:lastModifiedBy>
  <dcterms:created xsi:type="dcterms:W3CDTF">2022-11-28T21:13:57Z</dcterms:created>
  <dcterms:modified xsi:type="dcterms:W3CDTF">2024-01-26T03:19:20Z</dcterms:modified>
</cp:coreProperties>
</file>